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illua\Desktop\New folder\"/>
    </mc:Choice>
  </mc:AlternateContent>
  <xr:revisionPtr revIDLastSave="0" documentId="8_{D70153B2-B67B-4D91-9695-449ABE282C60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⚡ Inputs" sheetId="1" r:id="rId1"/>
    <sheet name="⚙ Contracts" sheetId="2" r:id="rId2"/>
    <sheet name="📡 Response" sheetId="3" r:id="rId3"/>
    <sheet name="📊 Insights" sheetId="4" r:id="rId4"/>
    <sheet name="_ChartData" sheetId="5" state="hidden" r:id="rId5"/>
    <sheet name="Carbon_A" sheetId="9" state="hidden" r:id="rId6"/>
    <sheet name="Carbon_B" sheetId="8" state="hidden" r:id="rId7"/>
    <sheet name="Carbon_C" sheetId="10" state="hidden" r:id="rId8"/>
  </sheets>
  <definedNames>
    <definedName name="ExternalData_1" localSheetId="2" hidden="1">'📡 Response'!$A$8:$G$14</definedName>
    <definedName name="ExternalData_2" localSheetId="2" hidden="1">'📡 Response'!$A$17:$H$39</definedName>
    <definedName name="ExternalData_3" localSheetId="2" hidden="1">'📡 Response'!$A$42:$H$70</definedName>
    <definedName name="inp_credits">"'⚡ Inputs'!$C$12"</definedName>
    <definedName name="inp_insurance_rate">"'⚡ Inputs'!$C$20"</definedName>
    <definedName name="inp_loan_maturity">"'⚡ Inputs'!$C$18"</definedName>
    <definedName name="inp_loan_notional">"'⚡ Inputs'!$C$16"</definedName>
    <definedName name="inp_loan_rate">"'⚡ Inputs'!$C$21"</definedName>
    <definedName name="inp_loan_start">"'⚡ Inputs'!$C$17"</definedName>
    <definedName name="inp_price_initial">"'⚡ Inputs'!$C$13"</definedName>
    <definedName name="inp_price_recovery">"'⚡ Inputs'!$C$15"</definedName>
    <definedName name="inp_price_stress">"'⚡ Inputs'!$C$14"</definedName>
    <definedName name="inp_swap_fixed">"'⚡ Inputs'!$C$19"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21" i="4" l="1"/>
  <c r="F21" i="4" s="1"/>
  <c r="D20" i="4"/>
  <c r="F20" i="4" s="1"/>
  <c r="D19" i="4"/>
  <c r="C20" i="4"/>
  <c r="E20" i="4" s="1"/>
  <c r="C19" i="4"/>
  <c r="B19" i="4"/>
  <c r="I17" i="1"/>
  <c r="I16" i="1"/>
  <c r="I15" i="1"/>
  <c r="I14" i="1"/>
  <c r="I13" i="1"/>
  <c r="I12" i="1"/>
  <c r="I11" i="1"/>
  <c r="I10" i="1"/>
  <c r="I9" i="1"/>
  <c r="I8" i="1"/>
  <c r="K18" i="2"/>
  <c r="K12" i="2"/>
  <c r="K7" i="2"/>
  <c r="I20" i="2"/>
  <c r="H20" i="2"/>
  <c r="G20" i="2"/>
  <c r="F20" i="2"/>
  <c r="E20" i="2"/>
  <c r="H19" i="2"/>
  <c r="G19" i="2"/>
  <c r="F19" i="2"/>
  <c r="E19" i="2"/>
  <c r="I18" i="2"/>
  <c r="H18" i="2"/>
  <c r="G18" i="2"/>
  <c r="F18" i="2"/>
  <c r="E18" i="2"/>
  <c r="H17" i="2"/>
  <c r="G17" i="2"/>
  <c r="F17" i="2"/>
  <c r="E17" i="2"/>
  <c r="I16" i="2"/>
  <c r="H16" i="2"/>
  <c r="G16" i="2"/>
  <c r="F16" i="2"/>
  <c r="E16" i="2"/>
  <c r="H13" i="2"/>
  <c r="G13" i="2"/>
  <c r="F13" i="2"/>
  <c r="E13" i="2"/>
  <c r="I12" i="2"/>
  <c r="H12" i="2"/>
  <c r="G12" i="2"/>
  <c r="F12" i="2"/>
  <c r="E12" i="2"/>
  <c r="H11" i="2"/>
  <c r="G11" i="2"/>
  <c r="F11" i="2"/>
  <c r="E11" i="2"/>
  <c r="I10" i="2"/>
  <c r="H10" i="2"/>
  <c r="G10" i="2"/>
  <c r="F10" i="2"/>
  <c r="E10" i="2"/>
  <c r="I7" i="2"/>
  <c r="H7" i="2"/>
  <c r="G7" i="2"/>
  <c r="F7" i="2"/>
  <c r="E7" i="2"/>
  <c r="E21" i="4"/>
  <c r="B22" i="4"/>
  <c r="A9" i="4" s="1"/>
  <c r="C33" i="1"/>
  <c r="C32" i="1"/>
  <c r="C31" i="1"/>
  <c r="C30" i="1"/>
  <c r="C29" i="1"/>
  <c r="C28" i="1"/>
  <c r="C27" i="1"/>
  <c r="C26" i="1"/>
  <c r="F19" i="4" l="1"/>
  <c r="E19" i="4"/>
  <c r="D22" i="4"/>
  <c r="C22" i="4"/>
  <c r="I9" i="4" l="1"/>
  <c r="F22" i="4"/>
  <c r="E9" i="4"/>
  <c r="E2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D95AF5-B870-4FFE-BFEC-D0B8C68B6564}" keepAlive="1" name="Query - Carbon_A" description="Connection to the 'Carbon_A' query in the workbook." type="5" refreshedVersion="8" saveData="1">
    <dbPr connection="Provider=Microsoft.Mashup.OleDb.1;Data Source=$Workbook$;Location=Carbon_A;Extended Properties=&quot;&quot;" command="SELECT * FROM [Carbon_A]"/>
  </connection>
  <connection id="2" xr16:uid="{7C738CD1-34A8-48D1-9FC4-D1D73DF729C3}" keepAlive="1" name="Query - Carbon_B" description="Connection to the 'Carbon_B' query in the workbook." type="5" refreshedVersion="8" saveData="1">
    <dbPr connection="Provider=Microsoft.Mashup.OleDb.1;Data Source=$Workbook$;Location=Carbon_B;Extended Properties=&quot;&quot;" command="SELECT * FROM [Carbon_B]"/>
  </connection>
  <connection id="3" xr16:uid="{737EEFFA-D986-4DEB-8277-38C9601B6A2B}" keepAlive="1" name="Query - Carbon_C" description="Connection to the 'Carbon_C' query in the workbook." type="5" refreshedVersion="8" background="1" saveData="1">
    <dbPr connection="Provider=Microsoft.Mashup.OleDb.1;Data Source=$Workbook$;Location=Carbon_C;Extended Properties=&quot;&quot;" command="SELECT * FROM [Carbon_C]"/>
  </connection>
</connections>
</file>

<file path=xl/sharedStrings.xml><?xml version="1.0" encoding="utf-8"?>
<sst xmlns="http://schemas.openxmlformats.org/spreadsheetml/2006/main" count="642" uniqueCount="272">
  <si>
    <t>CARBON CREDIT RISK ENGINE</t>
  </si>
  <si>
    <t xml:space="preserve">  GreenCell Industries, Chennai  ·  India → United States  ·  10,000 Carbon Credits  ·  ACTUS eventsBatch Engine</t>
  </si>
  <si>
    <t>#</t>
  </si>
  <si>
    <t>PARAMETER</t>
  </si>
  <si>
    <t>VALUE</t>
  </si>
  <si>
    <t>UNIT</t>
  </si>
  <si>
    <t>DESCRIPTION / SOURCE</t>
  </si>
  <si>
    <t xml:space="preserve">  PRIMARY INPUTS  ·  Edit these values to re-run ACTUS</t>
  </si>
  <si>
    <t>Company</t>
  </si>
  <si>
    <t>GreenCell Industries</t>
  </si>
  <si>
    <t>Name</t>
  </si>
  <si>
    <t>John's battery factory, Chennai India — Verra VCS registry</t>
  </si>
  <si>
    <t>Export Destination</t>
  </si>
  <si>
    <t>United States</t>
  </si>
  <si>
    <t>Country</t>
  </si>
  <si>
    <t>Carbon credit buyer market — primary off-taker</t>
  </si>
  <si>
    <t>Carbon Credits Held</t>
  </si>
  <si>
    <t>Credits</t>
  </si>
  <si>
    <t>Verified battery manufacturing efficiency credits — Bureau Veritas</t>
  </si>
  <si>
    <t>Carbon Price — Initial</t>
  </si>
  <si>
    <t>$/credit</t>
  </si>
  <si>
    <t>Market price at loan origination — Sylvera Carbon Ratings 2025</t>
  </si>
  <si>
    <t>Carbon Price — Stress</t>
  </si>
  <si>
    <t>VCM quality crisis price — BeZero Carbon Q1 2026 overcrediting study</t>
  </si>
  <si>
    <t>Carbon Price — Recovery</t>
  </si>
  <si>
    <t>Partial recovery price — 6 month post-crisis normalisation</t>
  </si>
  <si>
    <t>Loan Principal</t>
  </si>
  <si>
    <t>USD</t>
  </si>
  <si>
    <t>67% LTV against USD 420,000 collateral — EcoBank credit facility</t>
  </si>
  <si>
    <t>Loan Start Date</t>
  </si>
  <si>
    <t>Date</t>
  </si>
  <si>
    <t>Disbursement date — factory upgrade funding begins</t>
  </si>
  <si>
    <t>Loan Maturity Date</t>
  </si>
  <si>
    <t>12-month tenor — all ACTUS cashflow events derive from this</t>
  </si>
  <si>
    <t>Swap Fixed Price</t>
  </si>
  <si>
    <t>John pays fixed USD 38 — EcoBank pays floating carbon market price</t>
  </si>
  <si>
    <t>Insurance Premium Rate</t>
  </si>
  <si>
    <t>%/yr</t>
  </si>
  <si>
    <t>2% of credit value per year — carbon delivery/reversal coverage</t>
  </si>
  <si>
    <t>Loan Interest Rate</t>
  </si>
  <si>
    <t>7% annual — carbon collateral loan from EcoBank</t>
  </si>
  <si>
    <t xml:space="preserve">  DERIVED PARAMETERS  ·  Auto-computed — read only</t>
  </si>
  <si>
    <t>Collateral Value — Initial</t>
  </si>
  <si>
    <t>$</t>
  </si>
  <si>
    <t>10,000 credits × $42 = $420,000 — full LTV cushion</t>
  </si>
  <si>
    <t>Collateral Value — Stressed</t>
  </si>
  <si>
    <t>10,000 credits × $28 = $280,000 — equals loan notional ⚠</t>
  </si>
  <si>
    <t>LTV — Initial</t>
  </si>
  <si>
    <t>ratio</t>
  </si>
  <si>
    <t>66.7% — comfortable headroom at origination</t>
  </si>
  <si>
    <t>LTV — Stressed</t>
  </si>
  <si>
    <t>100.0% — triggers EcoBank margin call ⚠ CRITICAL</t>
  </si>
  <si>
    <t>Margin Call Price Threshold</t>
  </si>
  <si>
    <t>USD 28.00 — carbon price floor. Below this = margin call fires</t>
  </si>
  <si>
    <t>Swap Net Payment at Stress</t>
  </si>
  <si>
    <t>(38-28) × 10,000 = $100,000 — EcoBank pays John at Q2 stress</t>
  </si>
  <si>
    <t>Insurance Annual Premium</t>
  </si>
  <si>
    <t>2% × $420,000 = $8,400/yr — full protection against cancellation</t>
  </si>
  <si>
    <t>Loan Annual Interest</t>
  </si>
  <si>
    <t>7% × $280,000 = $19,600/yr — base cost in all scenarios</t>
  </si>
  <si>
    <t xml:space="preserve">  CARBON PRICE PATH  ·  Quarterly  ·  ACTUS Risk Factor: CARBON_PRICE_RATIO</t>
  </si>
  <si>
    <t>QTR</t>
  </si>
  <si>
    <t>DATE</t>
  </si>
  <si>
    <t>PRICE ($/cr)</t>
  </si>
  <si>
    <t>RATIO vs Q0</t>
  </si>
  <si>
    <t>COLLATERAL</t>
  </si>
  <si>
    <t>LTV</t>
  </si>
  <si>
    <t>MARGIN STATUS</t>
  </si>
  <si>
    <t>Q0</t>
  </si>
  <si>
    <t>2026-01-01</t>
  </si>
  <si>
    <t>✅ Safe — LTV 66.7%</t>
  </si>
  <si>
    <t>Q1</t>
  </si>
  <si>
    <t>2026-04-01</t>
  </si>
  <si>
    <t>✅ Safe — Price holds</t>
  </si>
  <si>
    <t>Q2</t>
  </si>
  <si>
    <t>2026-07-01</t>
  </si>
  <si>
    <t>⚠ MARGIN CALL — LTV 100%</t>
  </si>
  <si>
    <t>Q3</t>
  </si>
  <si>
    <t>2026-10-01</t>
  </si>
  <si>
    <t>Q4</t>
  </si>
  <si>
    <t>2027-01-01</t>
  </si>
  <si>
    <t>✅ Recovered — LTV 80%</t>
  </si>
  <si>
    <t xml:space="preserve">  HEDGE PARAMETERS  ·  Three-Layer Protection Stack</t>
  </si>
  <si>
    <t>SWAP FIXED PRICE</t>
  </si>
  <si>
    <t>$38.00/credit</t>
  </si>
  <si>
    <t>John locks in $38 — EcoBank pays floating market. Net at stress: +$100,000</t>
  </si>
  <si>
    <t>INSURANCE PREMIUM</t>
  </si>
  <si>
    <t>2.0%/year</t>
  </si>
  <si>
    <t>2% × $420,000 = $8,400/yr — covers delivery failure &amp; registry cancellation</t>
  </si>
  <si>
    <t>LOAN INTEREST</t>
  </si>
  <si>
    <t>7.0%/year</t>
  </si>
  <si>
    <t>7% × $280,000 = $19,600/yr — base cost present in all three scenarios</t>
  </si>
  <si>
    <t>CONTRACT DEFINITIONS  ·  ACTUS Financial Contracts</t>
  </si>
  <si>
    <t xml:space="preserve">  Review contracts below → Click ▶ SEND TO ACTUS ENGINE → Response sheet populates  ·  http://34.203.247.32:8083/eventsBatch</t>
  </si>
  <si>
    <t>SCN</t>
  </si>
  <si>
    <t>CONTRACT ID</t>
  </si>
  <si>
    <t>TYPE</t>
  </si>
  <si>
    <t>ROLE</t>
  </si>
  <si>
    <t>DEAL DATE</t>
  </si>
  <si>
    <t>START DATE</t>
  </si>
  <si>
    <t>MATURITY</t>
  </si>
  <si>
    <t>NOTIONAL</t>
  </si>
  <si>
    <t>RATE</t>
  </si>
  <si>
    <t>RISK FACTOR</t>
  </si>
  <si>
    <t>DESCRIPTION</t>
  </si>
  <si>
    <t xml:space="preserve">  A · NO HEDGE</t>
  </si>
  <si>
    <t>A</t>
  </si>
  <si>
    <t>carbonLOAN01-A</t>
  </si>
  <si>
    <t>PAM</t>
  </si>
  <si>
    <t>RPA</t>
  </si>
  <si>
    <t>CARBON_PRICE_RATIO</t>
  </si>
  <si>
    <t xml:space="preserve">  B · LOAN + SWAP</t>
  </si>
  <si>
    <t>B</t>
  </si>
  <si>
    <t>carbonLOAN01-B</t>
  </si>
  <si>
    <t>Loan — hedged by carbon price swap</t>
  </si>
  <si>
    <t>carbonSWAP-B</t>
  </si>
  <si>
    <t>SWAPS</t>
  </si>
  <si>
    <t>PFL</t>
  </si>
  <si>
    <t>—</t>
  </si>
  <si>
    <t>Swap wrapper — Delivery Settlement D</t>
  </si>
  <si>
    <t>carbonSWAP-B-FIXED</t>
  </si>
  <si>
    <t>FIL</t>
  </si>
  <si>
    <t>carbonSWAP-B-FLOAT</t>
  </si>
  <si>
    <t>SEL</t>
  </si>
  <si>
    <t>Float leg: EcoBank pays carbon market ratio — resets quarterly</t>
  </si>
  <si>
    <t xml:space="preserve">  C · LOAN + SWAP + INSURANCE</t>
  </si>
  <si>
    <t>C</t>
  </si>
  <si>
    <t>carbonLOAN01-C</t>
  </si>
  <si>
    <t>Layer 1: USD 280k loan</t>
  </si>
  <si>
    <t>carbonSWAP-C</t>
  </si>
  <si>
    <t>Layer 2: Carbon price swap wrapper</t>
  </si>
  <si>
    <t>carbonSWAP-C-FIXED</t>
  </si>
  <si>
    <t>carbonSWAP-C-FLOAT</t>
  </si>
  <si>
    <t>Float leg: EcoBank pays floating carbon price</t>
  </si>
  <si>
    <t>carbonINS_01-C</t>
  </si>
  <si>
    <t>BUY</t>
  </si>
  <si>
    <t>CARBON_DELIVERY_INDEX</t>
  </si>
  <si>
    <t>Layer 3: Insurance — triggers if delivery index &lt; 0.85</t>
  </si>
  <si>
    <t>ACTUS RESPONSE FEED  ·  Live Carbon Credit Cashflow Events</t>
  </si>
  <si>
    <t>SCENARIO</t>
  </si>
  <si>
    <t>EVENT</t>
  </si>
  <si>
    <t>PAYOFF (USD)</t>
  </si>
  <si>
    <t>CURRENCY</t>
  </si>
  <si>
    <t>NOMINAL VALUE</t>
  </si>
  <si>
    <t>NOMINAL RATE</t>
  </si>
  <si>
    <t>STATUS</t>
  </si>
  <si>
    <t>A · No Hedge</t>
  </si>
  <si>
    <t>IED</t>
  </si>
  <si>
    <t>IP</t>
  </si>
  <si>
    <t>MD</t>
  </si>
  <si>
    <t>B · Loan+Swap</t>
  </si>
  <si>
    <t>NET COST</t>
  </si>
  <si>
    <t>C · Full Protection</t>
  </si>
  <si>
    <t>DECISION COCKPIT  ·  Carbon Credit Risk Analysis</t>
  </si>
  <si>
    <t>GreenCell Industries, Chennai  ·  10,000 Carbon Credits  ·  USD 280,000 Loan  ·  Carbon Price $42 → $28 → $35</t>
  </si>
  <si>
    <t xml:space="preserve">  SCENARIO A</t>
  </si>
  <si>
    <t xml:space="preserve">  SCENARIO B</t>
  </si>
  <si>
    <t xml:space="preserve">  SCENARIO C</t>
  </si>
  <si>
    <t>NO HEDGE</t>
  </si>
  <si>
    <t>LOAN + SWAP</t>
  </si>
  <si>
    <t>FULL PROTECTION</t>
  </si>
  <si>
    <t>LOAN ONLY</t>
  </si>
  <si>
    <t>NET GAIN</t>
  </si>
  <si>
    <t>⚠ MARGIN CALL RISK</t>
  </si>
  <si>
    <t>✅ MARGIN CALL PREVENTED</t>
  </si>
  <si>
    <t>✅ FULLY PROTECTED</t>
  </si>
  <si>
    <t>🏆  OPTIMAL STRATEGY</t>
  </si>
  <si>
    <t xml:space="preserve">  DETAILED COST ANALYSIS  ·  From ACTUS Carbon Event Engine</t>
  </si>
  <si>
    <t>METRIC</t>
  </si>
  <si>
    <t>SCENARIO A</t>
  </si>
  <si>
    <t>SCENARIO B</t>
  </si>
  <si>
    <t>SCENARIO C</t>
  </si>
  <si>
    <t>B vs A DELTA</t>
  </si>
  <si>
    <t>C vs A DELTA</t>
  </si>
  <si>
    <t>RECOMMENDATION</t>
  </si>
  <si>
    <t>Loan Interest</t>
  </si>
  <si>
    <t>Fixed cost in all scenarios</t>
  </si>
  <si>
    <t>Swap Net Gain</t>
  </si>
  <si>
    <t>$57,500</t>
  </si>
  <si>
    <t>B &amp; C both get EcoBank payments</t>
  </si>
  <si>
    <t>Insurance Premium</t>
  </si>
  <si>
    <t>C pays extra for registry protection</t>
  </si>
  <si>
    <t>($37,900)</t>
  </si>
  <si>
    <t>Negative = net gain after swaps</t>
  </si>
  <si>
    <t>Margin Call Risk</t>
  </si>
  <si>
    <t>⚠ HIGH</t>
  </si>
  <si>
    <t>✅ NONE</t>
  </si>
  <si>
    <t>Eliminated</t>
  </si>
  <si>
    <t>Swap raises effective collateral</t>
  </si>
  <si>
    <t>Registry Protection</t>
  </si>
  <si>
    <t>❌ None</t>
  </si>
  <si>
    <t>✅ Full</t>
  </si>
  <si>
    <t>Adds layer 3</t>
  </si>
  <si>
    <t>C protects against Verra cancellation</t>
  </si>
  <si>
    <t>Factory Upgrade</t>
  </si>
  <si>
    <t>⚠ AT RISK</t>
  </si>
  <si>
    <t>✅ Safe</t>
  </si>
  <si>
    <t>Secured</t>
  </si>
  <si>
    <t>USD 280k unfrozen — upgrade proceeds</t>
  </si>
  <si>
    <t>🏆  SCENARIO B: LOAN + SWAP IS THE OPTIMAL STRATEGY FOR JOHN
The carbon price swap eliminates EcoBank's margin call at Q2 when GreenCell's credits fall from $42 to $28.
EcoBank automatically pays John ($38 - $28) × 10,000 = $100,000 under the ACTUS SWAPS contract.
This restores effective collateral from $280,000 to $380,000 — LTV drops from 100% back to 74%.
Factory upgrade proceeds without interruption. USD 280,000 of working capital stays unlocked.
Scenario B net gain after swap: ($37,900)  ·  Margin call: PREVENTED  ·  Risk: NONE</t>
  </si>
  <si>
    <t xml:space="preserve">  CARBON PRICE PATH  ·  ACTUS Risk Factor: CARBON_PRICE_RATIO</t>
  </si>
  <si>
    <t>PRICE</t>
  </si>
  <si>
    <t>RATIO</t>
  </si>
  <si>
    <t>$42.00</t>
  </si>
  <si>
    <t>$420,000</t>
  </si>
  <si>
    <t>66.7%</t>
  </si>
  <si>
    <t>✅ Loan Origination — LTV 67%</t>
  </si>
  <si>
    <t>✅ Price Stable</t>
  </si>
  <si>
    <t>$28.00</t>
  </si>
  <si>
    <t>$280,000</t>
  </si>
  <si>
    <t>100.0%</t>
  </si>
  <si>
    <t>⚠ STRESS — Margin Call Triggers</t>
  </si>
  <si>
    <t>⚠ STRESS — Sustained Pressure</t>
  </si>
  <si>
    <t>$35.00</t>
  </si>
  <si>
    <t>$350,000</t>
  </si>
  <si>
    <t>80.0%</t>
  </si>
  <si>
    <t>✅ Partial Recovery</t>
  </si>
  <si>
    <t>Quarter</t>
  </si>
  <si>
    <t>Carbon Price</t>
  </si>
  <si>
    <t>Swap Fixed</t>
  </si>
  <si>
    <t>Margin Call Floor</t>
  </si>
  <si>
    <t>Scenario A</t>
  </si>
  <si>
    <t>Scenario B (net)</t>
  </si>
  <si>
    <t>Scenario C (net)</t>
  </si>
  <si>
    <t>Scenario</t>
  </si>
  <si>
    <t>Gross Cost</t>
  </si>
  <si>
    <t>Net After Swap</t>
  </si>
  <si>
    <t>A - No Hedge</t>
  </si>
  <si>
    <t>B - Swap Now</t>
  </si>
  <si>
    <t>C - Full Stack</t>
  </si>
  <si>
    <t>Risk Type</t>
  </si>
  <si>
    <t>Unprotected</t>
  </si>
  <si>
    <t>Protected</t>
  </si>
  <si>
    <t>Carbon Price Fall</t>
  </si>
  <si>
    <t>Registry Cancel</t>
  </si>
  <si>
    <t xml:space="preserve">  SWAP NOW GAINS</t>
  </si>
  <si>
    <t xml:space="preserve">  NET GAIN SCENARIO B</t>
  </si>
  <si>
    <t xml:space="preserve">  MARGIN CALLS PREVENTED</t>
  </si>
  <si>
    <t>2 of 2</t>
  </si>
  <si>
    <t>Swap Fixed $38</t>
  </si>
  <si>
    <t>Margin Call Floor $28</t>
  </si>
  <si>
    <t>Q2 ⚠</t>
  </si>
  <si>
    <t>Q3 ⚠</t>
  </si>
  <si>
    <t xml:space="preserve">  📈  VISUAL ANALYTICS  ·  Carbon Price Risk &amp; Hedge Performance</t>
  </si>
  <si>
    <t>EventType</t>
  </si>
  <si>
    <t>EventDate</t>
  </si>
  <si>
    <t>Payoff</t>
  </si>
  <si>
    <t>Currency</t>
  </si>
  <si>
    <t>NominalValue</t>
  </si>
  <si>
    <t>NominalRate</t>
  </si>
  <si>
    <t>2026-01-01T00:00</t>
  </si>
  <si>
    <t>2026-04-01T00:00</t>
  </si>
  <si>
    <t>2026-07-01T00:00</t>
  </si>
  <si>
    <t>2026-10-01T00:00</t>
  </si>
  <si>
    <t>2027-01-01T00:00</t>
  </si>
  <si>
    <t>ContractID</t>
  </si>
  <si>
    <t>RR</t>
  </si>
  <si>
    <t>loan_notional</t>
  </si>
  <si>
    <t>loan_start</t>
  </si>
  <si>
    <t>swap_fixed</t>
  </si>
  <si>
    <t>insurance_rate</t>
  </si>
  <si>
    <t>loan_rate</t>
  </si>
  <si>
    <t>Value</t>
  </si>
  <si>
    <t>credits</t>
  </si>
  <si>
    <t>price_initial</t>
  </si>
  <si>
    <t>price_stress</t>
  </si>
  <si>
    <t>price_recovery</t>
  </si>
  <si>
    <t>loan_maturity</t>
  </si>
  <si>
    <t xml:space="preserve">  ACTUS INPUT TABLE  ·  Power Query Source</t>
  </si>
  <si>
    <t xml:space="preserve">  Auto-populated by Power Query  ·  POST → 34.203.247.32:8083/eventsBatch  ·  Carbon Credits | $42→$28→$35</t>
  </si>
  <si>
    <t>Coverage %</t>
  </si>
  <si>
    <t>Gap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</si>
</sst>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$#,##0.00"/>
    <numFmt numFmtId="165" formatCode="\$#,##0"/>
    <numFmt numFmtId="166" formatCode="yyyy\-mm\-dd"/>
    <numFmt numFmtId="167" formatCode="0.0%"/>
    <numFmt numFmtId="168" formatCode="0.0000"/>
    <numFmt numFmtId="173" formatCode="yyyy/mm/dd"/>
    <numFmt numFmtId="175" formatCode="[$$-409]#,##0;\([$$-409]#,##0\);&quot;-&quot;"/>
    <numFmt numFmtId="176" formatCode="\+[$$-409]#,##0;\-[$$-409]#,##0;&quot;—&quot;"/>
  </numFmts>
  <fonts count="69" x14ac:knownFonts="1">
    <font>
      <sz val="11"/>
      <color theme="1"/>
      <name val="Calibri"/>
      <family val="2"/>
      <charset val="1"/>
    </font>
    <font>
      <sz val="10"/>
      <color rgb="FF1A6B3C"/>
      <name val="Calibri"/>
      <charset val="1"/>
    </font>
    <font>
      <b/>
      <sz val="8"/>
      <color rgb="FFFFFFFF"/>
      <name val="Calibri"/>
      <charset val="1"/>
    </font>
    <font>
      <b/>
      <sz val="9"/>
      <color rgb="FF1A6B3C"/>
      <name val="Calibri"/>
      <charset val="1"/>
    </font>
    <font>
      <sz val="8"/>
      <color rgb="FF8A9BB0"/>
      <name val="Calibri"/>
      <charset val="1"/>
    </font>
    <font>
      <b/>
      <sz val="10"/>
      <color rgb="FF1A1A2E"/>
      <name val="Calibri"/>
      <charset val="1"/>
    </font>
    <font>
      <b/>
      <sz val="11"/>
      <color rgb="FF1A6B3C"/>
      <name val="Calibri"/>
      <charset val="1"/>
    </font>
    <font>
      <i/>
      <sz val="9"/>
      <color rgb="FF8A9BB0"/>
      <name val="Calibri"/>
      <charset val="1"/>
    </font>
    <font>
      <sz val="9"/>
      <color rgb="FF4A5568"/>
      <name val="Calibri"/>
      <charset val="1"/>
    </font>
    <font>
      <b/>
      <sz val="11"/>
      <color rgb="FF2E4070"/>
      <name val="Calibri"/>
      <charset val="1"/>
    </font>
    <font>
      <b/>
      <sz val="10"/>
      <color rgb="FFC0392B"/>
      <name val="Calibri"/>
      <charset val="1"/>
    </font>
    <font>
      <b/>
      <sz val="10"/>
      <color rgb="FF1A6B3C"/>
      <name val="Calibri"/>
      <charset val="1"/>
    </font>
    <font>
      <sz val="9"/>
      <color rgb="FF1A6B3C"/>
      <name val="Calibri"/>
      <charset val="1"/>
    </font>
    <font>
      <b/>
      <sz val="11"/>
      <color rgb="FFC0392B"/>
      <name val="Calibri"/>
      <charset val="1"/>
    </font>
    <font>
      <b/>
      <sz val="9"/>
      <color rgb="FFC0392B"/>
      <name val="Calibri"/>
      <charset val="1"/>
    </font>
    <font>
      <b/>
      <sz val="9"/>
      <color rgb="FF1565C0"/>
      <name val="Calibri"/>
      <charset val="1"/>
    </font>
    <font>
      <b/>
      <sz val="16"/>
      <color rgb="FF1565C0"/>
      <name val="Calibri"/>
      <charset val="1"/>
    </font>
    <font>
      <i/>
      <sz val="9"/>
      <color rgb="FF4A5568"/>
      <name val="Calibri"/>
      <charset val="1"/>
    </font>
    <font>
      <b/>
      <sz val="9"/>
      <color rgb="FF00695C"/>
      <name val="Calibri"/>
      <charset val="1"/>
    </font>
    <font>
      <b/>
      <sz val="16"/>
      <color rgb="FF00695C"/>
      <name val="Calibri"/>
      <charset val="1"/>
    </font>
    <font>
      <b/>
      <sz val="9"/>
      <color rgb="FF2E4070"/>
      <name val="Calibri"/>
      <charset val="1"/>
    </font>
    <font>
      <b/>
      <sz val="16"/>
      <color rgb="FF2E4070"/>
      <name val="Calibri"/>
      <charset val="1"/>
    </font>
    <font>
      <b/>
      <sz val="18"/>
      <color rgb="FFFFFFFF"/>
      <name val="Calibri"/>
      <charset val="1"/>
    </font>
    <font>
      <sz val="9"/>
      <color rgb="FF1A1A2E"/>
      <name val="Calibri"/>
      <charset val="1"/>
    </font>
    <font>
      <b/>
      <sz val="9"/>
      <color rgb="FFC0392B"/>
      <name val="Courier New"/>
      <charset val="1"/>
    </font>
    <font>
      <b/>
      <sz val="11"/>
      <color rgb="FF1565C0"/>
      <name val="Calibri"/>
      <charset val="1"/>
    </font>
    <font>
      <b/>
      <sz val="9"/>
      <color rgb="FF1565C0"/>
      <name val="Courier New"/>
      <charset val="1"/>
    </font>
    <font>
      <b/>
      <sz val="10"/>
      <color rgb="FF1565C0"/>
      <name val="Calibri"/>
      <charset val="1"/>
    </font>
    <font>
      <b/>
      <sz val="11"/>
      <color rgb="FF00695C"/>
      <name val="Calibri"/>
      <charset val="1"/>
    </font>
    <font>
      <b/>
      <sz val="9"/>
      <color rgb="FF00695C"/>
      <name val="Courier New"/>
      <charset val="1"/>
    </font>
    <font>
      <b/>
      <sz val="10"/>
      <color rgb="FF00695C"/>
      <name val="Calibri"/>
      <charset val="1"/>
    </font>
    <font>
      <sz val="10"/>
      <color rgb="FF1B2A4A"/>
      <name val="Calibri"/>
      <charset val="1"/>
    </font>
    <font>
      <b/>
      <sz val="14"/>
      <color rgb="FF1A1A2E"/>
      <name val="Calibri"/>
      <charset val="1"/>
    </font>
    <font>
      <b/>
      <sz val="24"/>
      <color rgb="FFC0392B"/>
      <name val="Calibri"/>
      <charset val="1"/>
    </font>
    <font>
      <b/>
      <sz val="24"/>
      <color rgb="FF1A6B3C"/>
      <name val="Calibri"/>
      <charset val="1"/>
    </font>
    <font>
      <b/>
      <sz val="10"/>
      <color rgb="FFFFFFFF"/>
      <name val="Calibri"/>
      <charset val="1"/>
    </font>
    <font>
      <sz val="10"/>
      <color rgb="FFC0392B"/>
      <name val="Calibri"/>
      <charset val="1"/>
    </font>
    <font>
      <sz val="10"/>
      <color rgb="FF1565C0"/>
      <name val="Calibri"/>
      <charset val="1"/>
    </font>
    <font>
      <sz val="10"/>
      <color rgb="FF00695C"/>
      <name val="Calibri"/>
      <charset val="1"/>
    </font>
    <font>
      <sz val="10"/>
      <color rgb="FF8A9BB0"/>
      <name val="Calibri"/>
      <charset val="1"/>
    </font>
    <font>
      <sz val="10"/>
      <color rgb="FF1A1A2E"/>
      <name val="Calibri"/>
      <charset val="1"/>
    </font>
    <font>
      <b/>
      <sz val="9"/>
      <color rgb="FF1A6B3C"/>
      <name val="Calibri"/>
    </font>
    <font>
      <b/>
      <sz val="16"/>
      <color rgb="FF1A6B3C"/>
      <name val="Calibri"/>
    </font>
    <font>
      <b/>
      <sz val="9"/>
      <color rgb="FF1565C0"/>
      <name val="Calibri"/>
    </font>
    <font>
      <b/>
      <sz val="16"/>
      <color rgb="FF1565C0"/>
      <name val="Calibri"/>
    </font>
    <font>
      <b/>
      <sz val="9"/>
      <color rgb="FF00695C"/>
      <name val="Calibri"/>
    </font>
    <font>
      <b/>
      <sz val="16"/>
      <color rgb="FF00695C"/>
      <name val="Calibri"/>
    </font>
    <font>
      <sz val="9"/>
      <color rgb="FF4A5568"/>
      <name val="Calibri"/>
      <family val="2"/>
      <charset val="1"/>
    </font>
    <font>
      <sz val="9"/>
      <color rgb="FFC0392B"/>
      <name val="Calibri"/>
      <family val="2"/>
      <charset val="1"/>
    </font>
    <font>
      <b/>
      <sz val="9"/>
      <color rgb="FFFFFFFF"/>
      <name val="Calibri"/>
    </font>
    <font>
      <b/>
      <sz val="10"/>
      <color rgb="FF1A6B3C"/>
      <name val="Calibri"/>
    </font>
    <font>
      <sz val="10"/>
      <color rgb="FF1A6B3C"/>
      <name val="Calibri"/>
      <family val="2"/>
      <charset val="1"/>
    </font>
    <font>
      <b/>
      <sz val="22"/>
      <color rgb="FFFFFFFF"/>
      <name val="Calibri"/>
      <family val="2"/>
      <charset val="1"/>
    </font>
    <font>
      <b/>
      <sz val="8"/>
      <color rgb="FFFFFFFF"/>
      <name val="Calibri"/>
      <family val="2"/>
      <charset val="1"/>
    </font>
    <font>
      <b/>
      <sz val="9"/>
      <color rgb="FF1A6B3C"/>
      <name val="Calibri"/>
      <family val="2"/>
      <charset val="1"/>
    </font>
    <font>
      <sz val="8"/>
      <color rgb="FF8A9BB0"/>
      <name val="Calibri"/>
      <family val="2"/>
      <charset val="1"/>
    </font>
    <font>
      <b/>
      <sz val="10"/>
      <color rgb="FF1A1A2E"/>
      <name val="Calibri"/>
      <family val="2"/>
      <charset val="1"/>
    </font>
    <font>
      <b/>
      <sz val="11"/>
      <color rgb="FF1A6B3C"/>
      <name val="Calibri"/>
      <family val="2"/>
      <charset val="1"/>
    </font>
    <font>
      <i/>
      <sz val="9"/>
      <color rgb="FF8A9BB0"/>
      <name val="Calibri"/>
      <family val="2"/>
      <charset val="1"/>
    </font>
    <font>
      <sz val="9"/>
      <color rgb="FF1A1A2E"/>
      <name val="Calibri"/>
    </font>
    <font>
      <b/>
      <sz val="9"/>
      <color rgb="FF1B2A4A"/>
      <name val="Calibri"/>
      <family val="2"/>
      <charset val="1"/>
    </font>
    <font>
      <b/>
      <sz val="9"/>
      <color rgb="FFFFFFFF"/>
      <name val="Calibri"/>
      <family val="2"/>
    </font>
    <font>
      <b/>
      <sz val="10"/>
      <color rgb="FF2E4070"/>
      <name val="Calibri"/>
      <family val="2"/>
      <charset val="1"/>
    </font>
    <font>
      <b/>
      <sz val="10"/>
      <color rgb="FFC0392B"/>
      <name val="Calibri"/>
      <family val="2"/>
      <charset val="1"/>
    </font>
    <font>
      <b/>
      <sz val="10"/>
      <color rgb="FFE67E00"/>
      <name val="Calibri"/>
      <family val="2"/>
      <charset val="1"/>
    </font>
    <font>
      <b/>
      <sz val="8"/>
      <color rgb="FF1A6B3C"/>
      <name val="Calibri"/>
    </font>
    <font>
      <b/>
      <sz val="12"/>
      <color theme="1"/>
      <name val="Calibri"/>
      <family val="2"/>
    </font>
    <font>
      <b/>
      <sz val="16"/>
      <color rgb="FFFFFFFF"/>
      <name val="Calibri"/>
      <family val="2"/>
    </font>
    <font>
      <sz val="10"/>
      <color rgb="FF1B2A4A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1A6B3C"/>
        <bgColor rgb="FF00695C"/>
      </patternFill>
    </fill>
    <fill>
      <patternFill patternType="solid">
        <fgColor rgb="FFFFFFFF"/>
        <bgColor rgb="FFF8F9FB"/>
      </patternFill>
    </fill>
    <fill>
      <patternFill patternType="solid">
        <fgColor rgb="FFE8F5EE"/>
        <bgColor rgb="FFE0F2F1"/>
      </patternFill>
    </fill>
    <fill>
      <patternFill patternType="solid">
        <fgColor rgb="FF1B2A4A"/>
        <bgColor rgb="FF1A1A2E"/>
      </patternFill>
    </fill>
    <fill>
      <patternFill patternType="solid">
        <fgColor rgb="FFF2F4F7"/>
        <bgColor rgb="FFEEF1F8"/>
      </patternFill>
    </fill>
    <fill>
      <patternFill patternType="solid">
        <fgColor rgb="FFF8F9FB"/>
        <bgColor rgb="FFF0FAF4"/>
      </patternFill>
    </fill>
    <fill>
      <patternFill patternType="solid">
        <fgColor rgb="FFEEF1F8"/>
        <bgColor rgb="FFF2F4F7"/>
      </patternFill>
    </fill>
    <fill>
      <patternFill patternType="solid">
        <fgColor rgb="FFFDF2F0"/>
        <bgColor rgb="FFFFF8E7"/>
      </patternFill>
    </fill>
    <fill>
      <patternFill patternType="solid">
        <fgColor rgb="FFFFF8E7"/>
        <bgColor rgb="FFFDF2F0"/>
      </patternFill>
    </fill>
    <fill>
      <patternFill patternType="solid">
        <fgColor rgb="FFF0FAF4"/>
        <bgColor rgb="FFF2F4F7"/>
      </patternFill>
    </fill>
    <fill>
      <patternFill patternType="solid">
        <fgColor rgb="FFEEF4FF"/>
        <bgColor rgb="FFEEF1F8"/>
      </patternFill>
    </fill>
    <fill>
      <patternFill patternType="solid">
        <fgColor rgb="FFE0F2F1"/>
        <bgColor rgb="FFE8F5EE"/>
      </patternFill>
    </fill>
    <fill>
      <patternFill patternType="solid">
        <fgColor rgb="FFC0392B"/>
        <bgColor rgb="FF993366"/>
      </patternFill>
    </fill>
    <fill>
      <patternFill patternType="solid">
        <fgColor rgb="FF1565C0"/>
        <bgColor rgb="FF3366FF"/>
      </patternFill>
    </fill>
    <fill>
      <patternFill patternType="solid">
        <fgColor rgb="FF00695C"/>
        <bgColor rgb="FF1A6B3C"/>
      </patternFill>
    </fill>
    <fill>
      <patternFill patternType="solid">
        <fgColor rgb="FFE8F5EE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rgb="FFE0F2F1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1A6B3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1F8"/>
        <bgColor indexed="64"/>
      </patternFill>
    </fill>
  </fills>
  <borders count="34">
    <border>
      <left/>
      <right/>
      <top/>
      <bottom/>
      <diagonal/>
    </border>
    <border>
      <left style="thick">
        <color rgb="FF1A6B3C"/>
      </left>
      <right/>
      <top/>
      <bottom style="thin">
        <color rgb="FFD0D5DE"/>
      </bottom>
      <diagonal/>
    </border>
    <border>
      <left/>
      <right/>
      <top/>
      <bottom style="medium">
        <color rgb="FF1B2A4A"/>
      </bottom>
      <diagonal/>
    </border>
    <border>
      <left style="medium">
        <color rgb="FF1A6B3C"/>
      </left>
      <right style="thin">
        <color rgb="FFD0D5DE"/>
      </right>
      <top style="thin">
        <color rgb="FFD0D5DE"/>
      </top>
      <bottom style="thin">
        <color rgb="FFD0D5DE"/>
      </bottom>
      <diagonal/>
    </border>
    <border>
      <left style="medium">
        <color rgb="FF2E4070"/>
      </left>
      <right style="thin">
        <color rgb="FFD0D5DE"/>
      </right>
      <top style="thin">
        <color rgb="FFD0D5DE"/>
      </top>
      <bottom style="thin">
        <color rgb="FFD0D5DE"/>
      </bottom>
      <diagonal/>
    </border>
    <border>
      <left style="thick">
        <color rgb="FF1B2A4A"/>
      </left>
      <right/>
      <top/>
      <bottom style="thin">
        <color rgb="FFD0D5DE"/>
      </bottom>
      <diagonal/>
    </border>
    <border>
      <left style="thin">
        <color rgb="FFD0D5DE"/>
      </left>
      <right style="thin">
        <color rgb="FFD0D5DE"/>
      </right>
      <top style="thin">
        <color rgb="FFD0D5DE"/>
      </top>
      <bottom style="thin">
        <color rgb="FFD0D5DE"/>
      </bottom>
      <diagonal/>
    </border>
    <border>
      <left style="thick">
        <color rgb="FF1565C0"/>
      </left>
      <right/>
      <top/>
      <bottom/>
      <diagonal/>
    </border>
    <border>
      <left style="thick">
        <color rgb="FF00695C"/>
      </left>
      <right/>
      <top/>
      <bottom/>
      <diagonal/>
    </border>
    <border>
      <left style="thick">
        <color rgb="FF2E4070"/>
      </left>
      <right/>
      <top/>
      <bottom/>
      <diagonal/>
    </border>
    <border>
      <left style="thick">
        <color rgb="FFC0392B"/>
      </left>
      <right/>
      <top/>
      <bottom style="thin">
        <color rgb="FFD0D5DE"/>
      </bottom>
      <diagonal/>
    </border>
    <border>
      <left style="thick">
        <color rgb="FF1565C0"/>
      </left>
      <right/>
      <top/>
      <bottom style="thin">
        <color rgb="FFD0D5DE"/>
      </bottom>
      <diagonal/>
    </border>
    <border>
      <left style="thick">
        <color rgb="FF00695C"/>
      </left>
      <right/>
      <top/>
      <bottom style="thin">
        <color rgb="FFD0D5DE"/>
      </bottom>
      <diagonal/>
    </border>
    <border>
      <left style="thick">
        <color rgb="FF1B2A4A"/>
      </left>
      <right/>
      <top/>
      <bottom/>
      <diagonal/>
    </border>
    <border>
      <left style="thick">
        <color rgb="FF1A6B3C"/>
      </left>
      <right/>
      <top style="thin">
        <color rgb="FFD0D5DE"/>
      </top>
      <bottom/>
      <diagonal/>
    </border>
    <border>
      <left style="thin">
        <color rgb="FF1A6B3C"/>
      </left>
      <right/>
      <top/>
      <bottom style="thin">
        <color rgb="FFD0D5DE"/>
      </bottom>
      <diagonal/>
    </border>
    <border>
      <left/>
      <right/>
      <top/>
      <bottom style="thin">
        <color rgb="FFD0D5DE"/>
      </bottom>
      <diagonal/>
    </border>
    <border>
      <left/>
      <right style="thin">
        <color rgb="FF1A6B3C"/>
      </right>
      <top/>
      <bottom style="thin">
        <color rgb="FFD0D5DE"/>
      </bottom>
      <diagonal/>
    </border>
    <border>
      <left/>
      <right style="thin">
        <color rgb="FFD0D5DE"/>
      </right>
      <top style="thin">
        <color rgb="FFD0D5DE"/>
      </top>
      <bottom/>
      <diagonal/>
    </border>
    <border>
      <left/>
      <right style="thin">
        <color rgb="FFD0D5DE"/>
      </right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rgb="FFD0D5DE"/>
      </top>
      <bottom/>
      <diagonal/>
    </border>
    <border>
      <left style="medium">
        <color rgb="FF1A6B3C"/>
      </left>
      <right/>
      <top style="thin">
        <color rgb="FFD0D5DE"/>
      </top>
      <bottom/>
      <diagonal/>
    </border>
    <border>
      <left style="thin">
        <color rgb="FFD0D5DE"/>
      </left>
      <right/>
      <top/>
      <bottom/>
      <diagonal/>
    </border>
    <border>
      <left style="medium">
        <color rgb="FF1A6B3C"/>
      </left>
      <right/>
      <top style="thin">
        <color rgb="FFD0D5DE"/>
      </top>
      <bottom style="thin">
        <color rgb="FFD0D5DE"/>
      </bottom>
      <diagonal/>
    </border>
    <border>
      <left style="thin">
        <color rgb="FFD0D5DE"/>
      </left>
      <right/>
      <top/>
      <bottom style="thin">
        <color theme="1"/>
      </bottom>
      <diagonal/>
    </border>
    <border>
      <left/>
      <right/>
      <top style="thin">
        <color rgb="FFD0D5DE"/>
      </top>
      <bottom style="thin">
        <color theme="1"/>
      </bottom>
      <diagonal/>
    </border>
    <border>
      <left style="medium">
        <color rgb="FF2E4070"/>
      </left>
      <right/>
      <top style="thin">
        <color rgb="FFD0D5DE"/>
      </top>
      <bottom/>
      <diagonal/>
    </border>
    <border>
      <left style="medium">
        <color rgb="FFE67E00"/>
      </left>
      <right/>
      <top style="thin">
        <color rgb="FFD0D5DE"/>
      </top>
      <bottom/>
      <diagonal/>
    </border>
    <border>
      <left/>
      <right/>
      <top style="thin">
        <color rgb="FFE8E8E8"/>
      </top>
      <bottom style="thin">
        <color rgb="FFE8E8E8"/>
      </bottom>
      <diagonal/>
    </border>
    <border>
      <left/>
      <right/>
      <top style="thin">
        <color rgb="FFE8E8E8"/>
      </top>
      <bottom/>
      <diagonal/>
    </border>
    <border>
      <left/>
      <right/>
      <top style="medium">
        <color rgb="FF1A6B3C"/>
      </top>
      <bottom style="thin">
        <color rgb="FFE8E8E8"/>
      </bottom>
      <diagonal/>
    </border>
    <border>
      <left/>
      <right style="thin">
        <color rgb="FF1B2A4A"/>
      </right>
      <top/>
      <bottom style="thin">
        <color rgb="FFD0D5DE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25" fillId="12" borderId="11" xfId="0" applyFont="1" applyFill="1" applyBorder="1" applyAlignment="1">
      <alignment horizontal="left" vertical="center"/>
    </xf>
    <xf numFmtId="0" fontId="13" fillId="9" borderId="10" xfId="0" applyFont="1" applyFill="1" applyBorder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17" fillId="8" borderId="0" xfId="0" applyFont="1" applyFill="1" applyAlignment="1">
      <alignment horizontal="left" vertical="center"/>
    </xf>
    <xf numFmtId="0" fontId="20" fillId="8" borderId="9" xfId="0" applyFont="1" applyFill="1" applyBorder="1" applyAlignment="1">
      <alignment horizontal="left" vertical="center"/>
    </xf>
    <xf numFmtId="0" fontId="17" fillId="13" borderId="0" xfId="0" applyFont="1" applyFill="1" applyAlignment="1">
      <alignment horizontal="left" vertical="center"/>
    </xf>
    <xf numFmtId="0" fontId="18" fillId="13" borderId="8" xfId="0" applyFont="1" applyFill="1" applyBorder="1" applyAlignment="1">
      <alignment horizontal="left" vertical="center"/>
    </xf>
    <xf numFmtId="0" fontId="17" fillId="12" borderId="0" xfId="0" applyFont="1" applyFill="1" applyAlignment="1">
      <alignment horizontal="left" vertical="center"/>
    </xf>
    <xf numFmtId="0" fontId="15" fillId="12" borderId="7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2" borderId="0" xfId="0" applyFill="1"/>
    <xf numFmtId="0" fontId="1" fillId="4" borderId="1" xfId="0" applyFont="1" applyFill="1" applyBorder="1" applyAlignment="1">
      <alignment horizontal="left" vertical="center"/>
    </xf>
    <xf numFmtId="0" fontId="0" fillId="3" borderId="0" xfId="0" applyFill="1"/>
    <xf numFmtId="0" fontId="2" fillId="5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7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3" fontId="6" fillId="4" borderId="3" xfId="0" applyNumberFormat="1" applyFont="1" applyFill="1" applyBorder="1" applyAlignment="1">
      <alignment horizontal="center" vertical="center"/>
    </xf>
    <xf numFmtId="164" fontId="9" fillId="4" borderId="4" xfId="0" applyNumberFormat="1" applyFont="1" applyFill="1" applyBorder="1" applyAlignment="1">
      <alignment horizontal="center" vertical="center"/>
    </xf>
    <xf numFmtId="165" fontId="9" fillId="4" borderId="4" xfId="0" applyNumberFormat="1" applyFont="1" applyFill="1" applyBorder="1" applyAlignment="1">
      <alignment horizontal="center" vertical="center"/>
    </xf>
    <xf numFmtId="166" fontId="6" fillId="4" borderId="3" xfId="0" applyNumberFormat="1" applyFont="1" applyFill="1" applyBorder="1" applyAlignment="1">
      <alignment horizontal="center" vertical="center"/>
    </xf>
    <xf numFmtId="164" fontId="6" fillId="4" borderId="3" xfId="0" applyNumberFormat="1" applyFont="1" applyFill="1" applyBorder="1" applyAlignment="1">
      <alignment horizontal="center" vertical="center"/>
    </xf>
    <xf numFmtId="167" fontId="6" fillId="4" borderId="3" xfId="0" applyNumberFormat="1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164" fontId="6" fillId="11" borderId="6" xfId="0" applyNumberFormat="1" applyFont="1" applyFill="1" applyBorder="1" applyAlignment="1">
      <alignment horizontal="center" vertical="center"/>
    </xf>
    <xf numFmtId="168" fontId="8" fillId="11" borderId="6" xfId="0" applyNumberFormat="1" applyFont="1" applyFill="1" applyBorder="1" applyAlignment="1">
      <alignment horizontal="center" vertical="center"/>
    </xf>
    <xf numFmtId="165" fontId="8" fillId="11" borderId="6" xfId="0" applyNumberFormat="1" applyFont="1" applyFill="1" applyBorder="1" applyAlignment="1">
      <alignment horizontal="center" vertical="center"/>
    </xf>
    <xf numFmtId="167" fontId="11" fillId="11" borderId="6" xfId="0" applyNumberFormat="1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center" vertical="center"/>
    </xf>
    <xf numFmtId="164" fontId="6" fillId="3" borderId="6" xfId="0" applyNumberFormat="1" applyFont="1" applyFill="1" applyBorder="1" applyAlignment="1">
      <alignment horizontal="center" vertical="center"/>
    </xf>
    <xf numFmtId="168" fontId="8" fillId="3" borderId="6" xfId="0" applyNumberFormat="1" applyFont="1" applyFill="1" applyBorder="1" applyAlignment="1">
      <alignment horizontal="center" vertical="center"/>
    </xf>
    <xf numFmtId="165" fontId="8" fillId="3" borderId="6" xfId="0" applyNumberFormat="1" applyFont="1" applyFill="1" applyBorder="1" applyAlignment="1">
      <alignment horizontal="center" vertical="center"/>
    </xf>
    <xf numFmtId="167" fontId="11" fillId="3" borderId="6" xfId="0" applyNumberFormat="1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164" fontId="13" fillId="9" borderId="6" xfId="0" applyNumberFormat="1" applyFont="1" applyFill="1" applyBorder="1" applyAlignment="1">
      <alignment horizontal="center" vertical="center"/>
    </xf>
    <xf numFmtId="168" fontId="8" fillId="9" borderId="6" xfId="0" applyNumberFormat="1" applyFont="1" applyFill="1" applyBorder="1" applyAlignment="1">
      <alignment horizontal="center" vertical="center"/>
    </xf>
    <xf numFmtId="165" fontId="8" fillId="9" borderId="6" xfId="0" applyNumberFormat="1" applyFont="1" applyFill="1" applyBorder="1" applyAlignment="1">
      <alignment horizontal="center" vertical="center"/>
    </xf>
    <xf numFmtId="167" fontId="10" fillId="9" borderId="6" xfId="0" applyNumberFormat="1" applyFont="1" applyFill="1" applyBorder="1" applyAlignment="1">
      <alignment horizontal="center" vertical="center"/>
    </xf>
    <xf numFmtId="0" fontId="14" fillId="9" borderId="6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4" fillId="9" borderId="6" xfId="0" applyFont="1" applyFill="1" applyBorder="1" applyAlignment="1">
      <alignment horizontal="center" vertical="center"/>
    </xf>
    <xf numFmtId="165" fontId="23" fillId="7" borderId="6" xfId="0" applyNumberFormat="1" applyFont="1" applyFill="1" applyBorder="1" applyAlignment="1">
      <alignment horizontal="center" vertical="center"/>
    </xf>
    <xf numFmtId="168" fontId="10" fillId="9" borderId="6" xfId="0" applyNumberFormat="1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left" vertical="center"/>
    </xf>
    <xf numFmtId="0" fontId="23" fillId="3" borderId="6" xfId="0" applyFont="1" applyFill="1" applyBorder="1" applyAlignment="1">
      <alignment horizontal="center" vertical="center"/>
    </xf>
    <xf numFmtId="0" fontId="26" fillId="12" borderId="6" xfId="0" applyFont="1" applyFill="1" applyBorder="1" applyAlignment="1">
      <alignment horizontal="center" vertical="center"/>
    </xf>
    <xf numFmtId="165" fontId="23" fillId="3" borderId="6" xfId="0" applyNumberFormat="1" applyFont="1" applyFill="1" applyBorder="1" applyAlignment="1">
      <alignment horizontal="center" vertical="center"/>
    </xf>
    <xf numFmtId="168" fontId="27" fillId="12" borderId="6" xfId="0" applyNumberFormat="1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left" vertical="center"/>
    </xf>
    <xf numFmtId="0" fontId="29" fillId="13" borderId="6" xfId="0" applyFont="1" applyFill="1" applyBorder="1" applyAlignment="1">
      <alignment horizontal="center" vertical="center"/>
    </xf>
    <xf numFmtId="168" fontId="30" fillId="13" borderId="6" xfId="0" applyNumberFormat="1" applyFont="1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9" borderId="0" xfId="0" applyFill="1"/>
    <xf numFmtId="0" fontId="0" fillId="13" borderId="0" xfId="0" applyFill="1"/>
    <xf numFmtId="0" fontId="0" fillId="12" borderId="0" xfId="0" applyFill="1"/>
    <xf numFmtId="0" fontId="5" fillId="3" borderId="6" xfId="0" applyFont="1" applyFill="1" applyBorder="1"/>
    <xf numFmtId="0" fontId="36" fillId="3" borderId="6" xfId="0" applyFont="1" applyFill="1" applyBorder="1" applyAlignment="1">
      <alignment horizontal="center" vertical="center"/>
    </xf>
    <xf numFmtId="0" fontId="37" fillId="3" borderId="6" xfId="0" applyFont="1" applyFill="1" applyBorder="1" applyAlignment="1">
      <alignment horizontal="center" vertical="center"/>
    </xf>
    <xf numFmtId="0" fontId="38" fillId="3" borderId="6" xfId="0" applyFont="1" applyFill="1" applyBorder="1" applyAlignment="1">
      <alignment horizontal="center" vertical="center"/>
    </xf>
    <xf numFmtId="0" fontId="39" fillId="3" borderId="6" xfId="0" applyFont="1" applyFill="1" applyBorder="1" applyAlignment="1">
      <alignment horizontal="center" vertical="center"/>
    </xf>
    <xf numFmtId="0" fontId="5" fillId="7" borderId="6" xfId="0" applyFont="1" applyFill="1" applyBorder="1"/>
    <xf numFmtId="0" fontId="36" fillId="7" borderId="6" xfId="0" applyFont="1" applyFill="1" applyBorder="1" applyAlignment="1">
      <alignment horizontal="center" vertical="center"/>
    </xf>
    <xf numFmtId="0" fontId="37" fillId="7" borderId="6" xfId="0" applyFont="1" applyFill="1" applyBorder="1" applyAlignment="1">
      <alignment horizontal="center" vertical="center"/>
    </xf>
    <xf numFmtId="0" fontId="38" fillId="7" borderId="6" xfId="0" applyFont="1" applyFill="1" applyBorder="1" applyAlignment="1">
      <alignment horizontal="center" vertical="center"/>
    </xf>
    <xf numFmtId="0" fontId="5" fillId="6" borderId="6" xfId="0" applyFont="1" applyFill="1" applyBorder="1"/>
    <xf numFmtId="0" fontId="17" fillId="6" borderId="6" xfId="0" applyFont="1" applyFill="1" applyBorder="1" applyAlignment="1">
      <alignment horizontal="left" vertical="center"/>
    </xf>
    <xf numFmtId="0" fontId="39" fillId="7" borderId="6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28" fillId="13" borderId="12" xfId="0" applyFont="1" applyFill="1" applyBorder="1" applyAlignment="1">
      <alignment horizontal="left" vertical="center"/>
    </xf>
    <xf numFmtId="0" fontId="31" fillId="8" borderId="13" xfId="0" applyFont="1" applyFill="1" applyBorder="1" applyAlignment="1">
      <alignment horizontal="left" vertical="center"/>
    </xf>
    <xf numFmtId="0" fontId="0" fillId="5" borderId="0" xfId="0" applyFill="1"/>
    <xf numFmtId="0" fontId="22" fillId="5" borderId="0" xfId="0" applyFont="1" applyFill="1" applyAlignment="1">
      <alignment horizontal="left" vertical="center"/>
    </xf>
    <xf numFmtId="0" fontId="14" fillId="9" borderId="0" xfId="0" applyFont="1" applyFill="1" applyAlignment="1">
      <alignment horizontal="left" vertical="center"/>
    </xf>
    <xf numFmtId="0" fontId="15" fillId="12" borderId="0" xfId="0" applyFont="1" applyFill="1" applyAlignment="1">
      <alignment horizontal="left" vertical="center"/>
    </xf>
    <xf numFmtId="0" fontId="18" fillId="13" borderId="0" xfId="0" applyFont="1" applyFill="1" applyAlignment="1">
      <alignment horizontal="left" vertical="center"/>
    </xf>
    <xf numFmtId="0" fontId="32" fillId="9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27" fillId="12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40" fillId="4" borderId="14" xfId="0" applyFont="1" applyFill="1" applyBorder="1" applyAlignment="1">
      <alignment horizontal="left" vertical="center" wrapText="1"/>
    </xf>
    <xf numFmtId="14" fontId="0" fillId="0" borderId="0" xfId="0" applyNumberFormat="1"/>
    <xf numFmtId="0" fontId="41" fillId="17" borderId="0" xfId="0" applyFont="1" applyFill="1" applyAlignment="1">
      <alignment horizontal="center"/>
    </xf>
    <xf numFmtId="0" fontId="43" fillId="18" borderId="0" xfId="0" applyFont="1" applyFill="1" applyAlignment="1">
      <alignment horizontal="center"/>
    </xf>
    <xf numFmtId="0" fontId="45" fillId="19" borderId="0" xfId="0" applyFont="1" applyFill="1" applyAlignment="1">
      <alignment horizontal="center"/>
    </xf>
    <xf numFmtId="49" fontId="42" fillId="17" borderId="0" xfId="0" applyNumberFormat="1" applyFont="1" applyFill="1" applyAlignment="1">
      <alignment horizontal="center"/>
    </xf>
    <xf numFmtId="49" fontId="44" fillId="18" borderId="0" xfId="0" applyNumberFormat="1" applyFont="1" applyFill="1" applyAlignment="1">
      <alignment horizontal="center"/>
    </xf>
    <xf numFmtId="0" fontId="46" fillId="19" borderId="0" xfId="0" applyFont="1" applyFill="1" applyAlignment="1">
      <alignment horizontal="center"/>
    </xf>
    <xf numFmtId="0" fontId="41" fillId="20" borderId="0" xfId="0" applyFont="1" applyFill="1" applyBorder="1" applyAlignment="1">
      <alignment horizontal="left"/>
    </xf>
    <xf numFmtId="0" fontId="41" fillId="20" borderId="15" xfId="0" applyFont="1" applyFill="1" applyBorder="1" applyAlignment="1">
      <alignment horizontal="left"/>
    </xf>
    <xf numFmtId="0" fontId="41" fillId="20" borderId="16" xfId="0" applyFont="1" applyFill="1" applyBorder="1" applyAlignment="1">
      <alignment horizontal="left"/>
    </xf>
    <xf numFmtId="0" fontId="41" fillId="20" borderId="17" xfId="0" applyFont="1" applyFill="1" applyBorder="1" applyAlignment="1">
      <alignment horizontal="left"/>
    </xf>
    <xf numFmtId="0" fontId="41" fillId="17" borderId="18" xfId="0" applyFont="1" applyFill="1" applyBorder="1" applyAlignment="1">
      <alignment horizontal="center"/>
    </xf>
    <xf numFmtId="49" fontId="42" fillId="17" borderId="19" xfId="0" applyNumberFormat="1" applyFont="1" applyFill="1" applyBorder="1" applyAlignment="1">
      <alignment horizontal="center"/>
    </xf>
    <xf numFmtId="0" fontId="43" fillId="18" borderId="18" xfId="0" applyFont="1" applyFill="1" applyBorder="1" applyAlignment="1">
      <alignment horizontal="center"/>
    </xf>
    <xf numFmtId="49" fontId="44" fillId="18" borderId="19" xfId="0" applyNumberFormat="1" applyFont="1" applyFill="1" applyBorder="1" applyAlignment="1">
      <alignment horizontal="center"/>
    </xf>
    <xf numFmtId="0" fontId="0" fillId="21" borderId="0" xfId="0" applyFill="1"/>
    <xf numFmtId="0" fontId="0" fillId="0" borderId="0" xfId="0" applyNumberFormat="1"/>
    <xf numFmtId="0" fontId="0" fillId="2" borderId="22" xfId="0" applyFont="1" applyFill="1" applyBorder="1"/>
    <xf numFmtId="0" fontId="0" fillId="3" borderId="0" xfId="0" applyFont="1" applyFill="1"/>
    <xf numFmtId="0" fontId="53" fillId="5" borderId="0" xfId="0" applyFont="1" applyFill="1" applyBorder="1" applyAlignment="1">
      <alignment horizontal="center" vertical="center"/>
    </xf>
    <xf numFmtId="0" fontId="53" fillId="5" borderId="0" xfId="0" applyFont="1" applyFill="1" applyBorder="1" applyAlignment="1">
      <alignment horizontal="left" vertical="center"/>
    </xf>
    <xf numFmtId="0" fontId="0" fillId="3" borderId="22" xfId="0" applyFont="1" applyFill="1" applyBorder="1"/>
    <xf numFmtId="0" fontId="55" fillId="3" borderId="0" xfId="0" applyFont="1" applyFill="1" applyAlignment="1">
      <alignment horizontal="center" vertical="center"/>
    </xf>
    <xf numFmtId="0" fontId="56" fillId="3" borderId="0" xfId="0" applyFont="1" applyFill="1" applyAlignment="1">
      <alignment horizontal="left" vertical="center"/>
    </xf>
    <xf numFmtId="0" fontId="57" fillId="4" borderId="23" xfId="0" applyFont="1" applyFill="1" applyBorder="1" applyAlignment="1">
      <alignment horizontal="center" vertical="center"/>
    </xf>
    <xf numFmtId="0" fontId="58" fillId="3" borderId="24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0" fontId="55" fillId="7" borderId="20" xfId="0" applyFont="1" applyFill="1" applyBorder="1" applyAlignment="1">
      <alignment horizontal="center" vertical="center"/>
    </xf>
    <xf numFmtId="0" fontId="56" fillId="7" borderId="20" xfId="0" applyFont="1" applyFill="1" applyBorder="1" applyAlignment="1">
      <alignment horizontal="left" vertical="center"/>
    </xf>
    <xf numFmtId="0" fontId="57" fillId="4" borderId="25" xfId="0" applyFont="1" applyFill="1" applyBorder="1" applyAlignment="1">
      <alignment horizontal="center" vertical="center"/>
    </xf>
    <xf numFmtId="0" fontId="58" fillId="7" borderId="26" xfId="0" applyFont="1" applyFill="1" applyBorder="1" applyAlignment="1">
      <alignment horizontal="center" vertical="center"/>
    </xf>
    <xf numFmtId="0" fontId="47" fillId="7" borderId="20" xfId="0" applyFont="1" applyFill="1" applyBorder="1" applyAlignment="1">
      <alignment horizontal="left" vertical="center"/>
    </xf>
    <xf numFmtId="0" fontId="0" fillId="3" borderId="20" xfId="0" applyFont="1" applyFill="1" applyBorder="1"/>
    <xf numFmtId="0" fontId="0" fillId="23" borderId="0" xfId="0" applyFill="1"/>
    <xf numFmtId="165" fontId="62" fillId="8" borderId="28" xfId="0" applyNumberFormat="1" applyFont="1" applyFill="1" applyBorder="1" applyAlignment="1">
      <alignment horizontal="center" vertical="center"/>
    </xf>
    <xf numFmtId="0" fontId="63" fillId="9" borderId="0" xfId="0" applyFont="1" applyFill="1" applyAlignment="1">
      <alignment horizontal="left" vertical="center"/>
    </xf>
    <xf numFmtId="165" fontId="64" fillId="10" borderId="29" xfId="0" applyNumberFormat="1" applyFont="1" applyFill="1" applyBorder="1" applyAlignment="1">
      <alignment horizontal="center" vertical="center"/>
    </xf>
    <xf numFmtId="0" fontId="58" fillId="9" borderId="24" xfId="0" applyFont="1" applyFill="1" applyBorder="1" applyAlignment="1">
      <alignment horizontal="center" vertical="center"/>
    </xf>
    <xf numFmtId="0" fontId="48" fillId="9" borderId="0" xfId="0" applyFont="1" applyFill="1" applyAlignment="1">
      <alignment horizontal="left" vertical="center"/>
    </xf>
    <xf numFmtId="167" fontId="62" fillId="8" borderId="28" xfId="0" applyNumberFormat="1" applyFont="1" applyFill="1" applyBorder="1" applyAlignment="1">
      <alignment horizontal="center" vertical="center"/>
    </xf>
    <xf numFmtId="167" fontId="64" fillId="10" borderId="29" xfId="0" applyNumberFormat="1" applyFont="1" applyFill="1" applyBorder="1" applyAlignment="1">
      <alignment horizontal="center" vertical="center"/>
    </xf>
    <xf numFmtId="0" fontId="56" fillId="7" borderId="0" xfId="0" applyFont="1" applyFill="1" applyAlignment="1">
      <alignment horizontal="left" vertical="center"/>
    </xf>
    <xf numFmtId="0" fontId="58" fillId="7" borderId="24" xfId="0" applyFont="1" applyFill="1" applyBorder="1" applyAlignment="1">
      <alignment horizontal="center" vertical="center"/>
    </xf>
    <xf numFmtId="0" fontId="47" fillId="7" borderId="0" xfId="0" applyFont="1" applyFill="1" applyAlignment="1">
      <alignment horizontal="left" vertical="center"/>
    </xf>
    <xf numFmtId="0" fontId="0" fillId="3" borderId="27" xfId="0" applyFont="1" applyFill="1" applyBorder="1"/>
    <xf numFmtId="0" fontId="65" fillId="0" borderId="0" xfId="0" applyFont="1"/>
    <xf numFmtId="0" fontId="59" fillId="20" borderId="32" xfId="0" applyFont="1" applyFill="1" applyBorder="1" applyAlignment="1">
      <alignment horizontal="left"/>
    </xf>
    <xf numFmtId="0" fontId="59" fillId="20" borderId="30" xfId="0" applyFont="1" applyFill="1" applyBorder="1" applyAlignment="1">
      <alignment horizontal="left"/>
    </xf>
    <xf numFmtId="0" fontId="49" fillId="22" borderId="0" xfId="0" applyFont="1" applyFill="1" applyBorder="1" applyAlignment="1">
      <alignment horizontal="left"/>
    </xf>
    <xf numFmtId="0" fontId="49" fillId="22" borderId="0" xfId="0" applyFont="1" applyFill="1" applyBorder="1" applyAlignment="1">
      <alignment horizontal="right"/>
    </xf>
    <xf numFmtId="0" fontId="59" fillId="20" borderId="31" xfId="0" applyFont="1" applyFill="1" applyBorder="1" applyAlignment="1">
      <alignment horizontal="left"/>
    </xf>
    <xf numFmtId="3" fontId="50" fillId="17" borderId="32" xfId="0" applyNumberFormat="1" applyFont="1" applyFill="1" applyBorder="1" applyAlignment="1">
      <alignment horizontal="right"/>
    </xf>
    <xf numFmtId="2" fontId="50" fillId="17" borderId="30" xfId="0" applyNumberFormat="1" applyFont="1" applyFill="1" applyBorder="1" applyAlignment="1">
      <alignment horizontal="right"/>
    </xf>
    <xf numFmtId="3" fontId="50" fillId="17" borderId="30" xfId="0" applyNumberFormat="1" applyFont="1" applyFill="1" applyBorder="1" applyAlignment="1">
      <alignment horizontal="right"/>
    </xf>
    <xf numFmtId="173" fontId="50" fillId="17" borderId="30" xfId="0" applyNumberFormat="1" applyFont="1" applyFill="1" applyBorder="1" applyAlignment="1">
      <alignment horizontal="right"/>
    </xf>
    <xf numFmtId="10" fontId="50" fillId="17" borderId="30" xfId="0" applyNumberFormat="1" applyFont="1" applyFill="1" applyBorder="1" applyAlignment="1">
      <alignment horizontal="right"/>
    </xf>
    <xf numFmtId="10" fontId="50" fillId="17" borderId="31" xfId="0" applyNumberFormat="1" applyFont="1" applyFill="1" applyBorder="1" applyAlignment="1">
      <alignment horizontal="right"/>
    </xf>
    <xf numFmtId="0" fontId="0" fillId="3" borderId="0" xfId="0" applyFont="1" applyFill="1" applyBorder="1"/>
    <xf numFmtId="0" fontId="60" fillId="6" borderId="5" xfId="0" applyFont="1" applyFill="1" applyBorder="1" applyAlignment="1">
      <alignment horizontal="left" vertical="center"/>
    </xf>
    <xf numFmtId="0" fontId="60" fillId="6" borderId="16" xfId="0" applyFont="1" applyFill="1" applyBorder="1" applyAlignment="1">
      <alignment horizontal="left" vertical="center"/>
    </xf>
    <xf numFmtId="0" fontId="60" fillId="6" borderId="33" xfId="0" applyFont="1" applyFill="1" applyBorder="1" applyAlignment="1">
      <alignment horizontal="left" vertical="center"/>
    </xf>
    <xf numFmtId="0" fontId="51" fillId="4" borderId="1" xfId="0" applyFont="1" applyFill="1" applyBorder="1" applyAlignment="1">
      <alignment horizontal="left" vertical="center"/>
    </xf>
    <xf numFmtId="0" fontId="51" fillId="4" borderId="16" xfId="0" applyFont="1" applyFill="1" applyBorder="1" applyAlignment="1">
      <alignment horizontal="left" vertical="center"/>
    </xf>
    <xf numFmtId="0" fontId="54" fillId="6" borderId="1" xfId="0" applyFont="1" applyFill="1" applyBorder="1" applyAlignment="1">
      <alignment horizontal="left" vertical="center"/>
    </xf>
    <xf numFmtId="0" fontId="54" fillId="6" borderId="16" xfId="0" applyFont="1" applyFill="1" applyBorder="1" applyAlignment="1">
      <alignment horizontal="left" vertical="center"/>
    </xf>
    <xf numFmtId="0" fontId="54" fillId="6" borderId="17" xfId="0" applyFont="1" applyFill="1" applyBorder="1" applyAlignment="1">
      <alignment horizontal="left" vertical="center"/>
    </xf>
    <xf numFmtId="0" fontId="3" fillId="6" borderId="16" xfId="0" applyFont="1" applyFill="1" applyBorder="1" applyAlignment="1">
      <alignment horizontal="left" vertical="center"/>
    </xf>
    <xf numFmtId="0" fontId="52" fillId="2" borderId="21" xfId="0" applyFont="1" applyFill="1" applyBorder="1" applyAlignment="1">
      <alignment horizontal="left" vertical="center"/>
    </xf>
    <xf numFmtId="0" fontId="52" fillId="2" borderId="0" xfId="0" applyFont="1" applyFill="1" applyBorder="1" applyAlignment="1">
      <alignment horizontal="left" vertical="center"/>
    </xf>
    <xf numFmtId="0" fontId="0" fillId="0" borderId="0" xfId="0"/>
    <xf numFmtId="0" fontId="67" fillId="21" borderId="0" xfId="0" applyFont="1" applyFill="1" applyAlignment="1">
      <alignment horizontal="left"/>
    </xf>
    <xf numFmtId="0" fontId="68" fillId="24" borderId="0" xfId="0" applyFont="1" applyFill="1" applyAlignment="1">
      <alignment horizontal="left"/>
    </xf>
    <xf numFmtId="0" fontId="61" fillId="21" borderId="2" xfId="0" applyFont="1" applyFill="1" applyBorder="1" applyAlignment="1">
      <alignment horizontal="center"/>
    </xf>
    <xf numFmtId="175" fontId="33" fillId="9" borderId="0" xfId="0" applyNumberFormat="1" applyFont="1" applyFill="1" applyAlignment="1">
      <alignment horizontal="center" vertical="center"/>
    </xf>
    <xf numFmtId="175" fontId="34" fillId="12" borderId="0" xfId="0" applyNumberFormat="1" applyFont="1" applyFill="1" applyAlignment="1">
      <alignment horizontal="center" vertical="center"/>
    </xf>
    <xf numFmtId="175" fontId="34" fillId="13" borderId="0" xfId="0" applyNumberFormat="1" applyFont="1" applyFill="1" applyAlignment="1">
      <alignment horizontal="center" vertical="center"/>
    </xf>
    <xf numFmtId="175" fontId="36" fillId="3" borderId="6" xfId="0" applyNumberFormat="1" applyFont="1" applyFill="1" applyBorder="1" applyAlignment="1">
      <alignment horizontal="center" vertical="center"/>
    </xf>
    <xf numFmtId="175" fontId="36" fillId="7" borderId="6" xfId="0" applyNumberFormat="1" applyFont="1" applyFill="1" applyBorder="1" applyAlignment="1">
      <alignment horizontal="center" vertical="center"/>
    </xf>
    <xf numFmtId="175" fontId="10" fillId="6" borderId="6" xfId="0" applyNumberFormat="1" applyFont="1" applyFill="1" applyBorder="1" applyAlignment="1">
      <alignment horizontal="center" vertical="center"/>
    </xf>
    <xf numFmtId="175" fontId="37" fillId="3" borderId="6" xfId="0" applyNumberFormat="1" applyFont="1" applyFill="1" applyBorder="1" applyAlignment="1">
      <alignment horizontal="center" vertical="center"/>
    </xf>
    <xf numFmtId="175" fontId="37" fillId="7" borderId="6" xfId="0" applyNumberFormat="1" applyFont="1" applyFill="1" applyBorder="1" applyAlignment="1">
      <alignment horizontal="center" vertical="center"/>
    </xf>
    <xf numFmtId="175" fontId="27" fillId="6" borderId="6" xfId="0" applyNumberFormat="1" applyFont="1" applyFill="1" applyBorder="1" applyAlignment="1">
      <alignment horizontal="center" vertical="center"/>
    </xf>
    <xf numFmtId="175" fontId="38" fillId="3" borderId="6" xfId="0" applyNumberFormat="1" applyFont="1" applyFill="1" applyBorder="1" applyAlignment="1">
      <alignment horizontal="center" vertical="center"/>
    </xf>
    <xf numFmtId="175" fontId="38" fillId="7" borderId="6" xfId="0" applyNumberFormat="1" applyFont="1" applyFill="1" applyBorder="1" applyAlignment="1">
      <alignment horizontal="center" vertical="center"/>
    </xf>
    <xf numFmtId="175" fontId="30" fillId="6" borderId="6" xfId="0" applyNumberFormat="1" applyFont="1" applyFill="1" applyBorder="1" applyAlignment="1">
      <alignment horizontal="center" vertical="center"/>
    </xf>
    <xf numFmtId="176" fontId="39" fillId="3" borderId="6" xfId="0" applyNumberFormat="1" applyFont="1" applyFill="1" applyBorder="1" applyAlignment="1">
      <alignment horizontal="center" vertical="center"/>
    </xf>
    <xf numFmtId="176" fontId="1" fillId="11" borderId="6" xfId="0" applyNumberFormat="1" applyFont="1" applyFill="1" applyBorder="1" applyAlignment="1">
      <alignment horizontal="center" vertical="center"/>
    </xf>
    <xf numFmtId="176" fontId="36" fillId="9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A1A2E"/>
        <name val="Calibri"/>
        <scheme val="none"/>
      </font>
      <fill>
        <patternFill patternType="solid">
          <fgColor indexed="64"/>
          <bgColor rgb="FFF2F4F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E8E8E8"/>
        </top>
        <bottom style="thin">
          <color rgb="FFE8E8E8"/>
        </bottom>
        <vertical/>
        <horizontal/>
      </border>
    </dxf>
    <dxf>
      <border outline="0">
        <left style="thin">
          <color rgb="FF1A6B3C"/>
        </left>
        <right style="thin">
          <color rgb="FF1A6B3C"/>
        </right>
        <top style="thin">
          <color rgb="FF1A6B3C"/>
        </top>
        <bottom style="thin">
          <color rgb="FF1A6B3C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A6B3C"/>
      <rgbColor rgb="FF000080"/>
      <rgbColor rgb="FF808000"/>
      <rgbColor rgb="FF800080"/>
      <rgbColor rgb="FF00695C"/>
      <rgbColor rgb="FFEEF4FF"/>
      <rgbColor rgb="FF808080"/>
      <rgbColor rgb="FF9999FF"/>
      <rgbColor rgb="FF993366"/>
      <rgbColor rgb="FFFFF8E7"/>
      <rgbColor rgb="FFE0F2F1"/>
      <rgbColor rgb="FF660066"/>
      <rgbColor rgb="FFFF8080"/>
      <rgbColor rgb="FF1565C0"/>
      <rgbColor rgb="FFD0D5D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E"/>
      <rgbColor rgb="FFF0FAF4"/>
      <rgbColor rgb="FFFDF2F0"/>
      <rgbColor rgb="FFF2F4F7"/>
      <rgbColor rgb="FFF8F9FB"/>
      <rgbColor rgb="FFCC99FF"/>
      <rgbColor rgb="FFEEF1F8"/>
      <rgbColor rgb="FF3366FF"/>
      <rgbColor rgb="FF33CCCC"/>
      <rgbColor rgb="FF99CC00"/>
      <rgbColor rgb="FFFFCC00"/>
      <rgbColor rgb="FFFF9900"/>
      <rgbColor rgb="FFE67E00"/>
      <rgbColor rgb="FF4A5568"/>
      <rgbColor rgb="FF8A9BB0"/>
      <rgbColor rgb="FF003366"/>
      <rgbColor rgb="FF2D8A52"/>
      <rgbColor rgb="FF003300"/>
      <rgbColor rgb="FF1A1A2E"/>
      <rgbColor rgb="FFC0392B"/>
      <rgbColor rgb="FF993366"/>
      <rgbColor rgb="FF2E4070"/>
      <rgbColor rgb="FF1B2A4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Carbon Price Path — Stress Event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_ChartData!$H$1</c:f>
              <c:strCache>
                <c:ptCount val="1"/>
                <c:pt idx="0">
                  <c:v>Carbon Price</c:v>
                </c:pt>
              </c:strCache>
            </c:strRef>
          </c:tx>
          <c:spPr>
            <a:ln w="38100" cap="rnd">
              <a:solidFill>
                <a:srgbClr val="C0392B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9525">
                <a:solidFill>
                  <a:srgbClr val="C0392B"/>
                </a:solidFill>
                <a:prstDash val="solid"/>
              </a:ln>
              <a:effectLst/>
            </c:spPr>
          </c:marker>
          <c:dLbls>
            <c:numFmt formatCode="&quot;₹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C0392B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_ChartData!$G$2:$G$6</c:f>
              <c:strCache>
                <c:ptCount val="5"/>
                <c:pt idx="0">
                  <c:v>Q0</c:v>
                </c:pt>
                <c:pt idx="1">
                  <c:v>Q1</c:v>
                </c:pt>
                <c:pt idx="2">
                  <c:v>Q2 ⚠</c:v>
                </c:pt>
                <c:pt idx="3">
                  <c:v>Q3 ⚠</c:v>
                </c:pt>
                <c:pt idx="4">
                  <c:v>Q4</c:v>
                </c:pt>
              </c:strCache>
            </c:strRef>
          </c:cat>
          <c:val>
            <c:numRef>
              <c:f>_ChartData!$H$2:$H$6</c:f>
              <c:numCache>
                <c:formatCode>General</c:formatCode>
                <c:ptCount val="5"/>
                <c:pt idx="0">
                  <c:v>42</c:v>
                </c:pt>
                <c:pt idx="1">
                  <c:v>42</c:v>
                </c:pt>
                <c:pt idx="2">
                  <c:v>28</c:v>
                </c:pt>
                <c:pt idx="3">
                  <c:v>28</c:v>
                </c:pt>
                <c:pt idx="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7-4B6D-A5C7-C2BBB00426B3}"/>
            </c:ext>
          </c:extLst>
        </c:ser>
        <c:ser>
          <c:idx val="1"/>
          <c:order val="1"/>
          <c:tx>
            <c:strRef>
              <c:f>_ChartData!$I$1</c:f>
              <c:strCache>
                <c:ptCount val="1"/>
                <c:pt idx="0">
                  <c:v>Swap Fixed $38</c:v>
                </c:pt>
              </c:strCache>
            </c:strRef>
          </c:tx>
          <c:spPr>
            <a:ln w="25400" cap="rnd">
              <a:solidFill>
                <a:srgbClr val="27AE60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_ChartData!$G$2:$G$6</c:f>
              <c:strCache>
                <c:ptCount val="5"/>
                <c:pt idx="0">
                  <c:v>Q0</c:v>
                </c:pt>
                <c:pt idx="1">
                  <c:v>Q1</c:v>
                </c:pt>
                <c:pt idx="2">
                  <c:v>Q2 ⚠</c:v>
                </c:pt>
                <c:pt idx="3">
                  <c:v>Q3 ⚠</c:v>
                </c:pt>
                <c:pt idx="4">
                  <c:v>Q4</c:v>
                </c:pt>
              </c:strCache>
            </c:strRef>
          </c:cat>
          <c:val>
            <c:numRef>
              <c:f>_ChartData!$I$2:$I$6</c:f>
              <c:numCache>
                <c:formatCode>General</c:formatCode>
                <c:ptCount val="5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7-4B6D-A5C7-C2BBB00426B3}"/>
            </c:ext>
          </c:extLst>
        </c:ser>
        <c:ser>
          <c:idx val="2"/>
          <c:order val="2"/>
          <c:tx>
            <c:strRef>
              <c:f>_ChartData!$J$1</c:f>
              <c:strCache>
                <c:ptCount val="1"/>
                <c:pt idx="0">
                  <c:v>Margin Call Floor $28</c:v>
                </c:pt>
              </c:strCache>
            </c:strRef>
          </c:tx>
          <c:spPr>
            <a:ln w="25400" cap="rnd">
              <a:solidFill>
                <a:srgbClr val="E67E2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_ChartData!$G$2:$G$6</c:f>
              <c:strCache>
                <c:ptCount val="5"/>
                <c:pt idx="0">
                  <c:v>Q0</c:v>
                </c:pt>
                <c:pt idx="1">
                  <c:v>Q1</c:v>
                </c:pt>
                <c:pt idx="2">
                  <c:v>Q2 ⚠</c:v>
                </c:pt>
                <c:pt idx="3">
                  <c:v>Q3 ⚠</c:v>
                </c:pt>
                <c:pt idx="4">
                  <c:v>Q4</c:v>
                </c:pt>
              </c:strCache>
            </c:strRef>
          </c:cat>
          <c:val>
            <c:numRef>
              <c:f>_ChartData!$J$2:$J$6</c:f>
              <c:numCache>
                <c:formatCode>General</c:formatCode>
                <c:ptCount val="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87-4B6D-A5C7-C2BBB004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679455"/>
        <c:axId val="209679935"/>
      </c:lineChart>
      <c:catAx>
        <c:axId val="20967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0D5D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679935"/>
        <c:crosses val="autoZero"/>
        <c:auto val="1"/>
        <c:lblAlgn val="ctr"/>
        <c:lblOffset val="100"/>
        <c:noMultiLvlLbl val="0"/>
      </c:catAx>
      <c:valAx>
        <c:axId val="209679935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rgbClr val="E8E8E8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4A5568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N"/>
                  <a:t>USD per Credit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rgbClr val="4A5568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&quot;₹&quot;#,##0" sourceLinked="0"/>
        <c:majorTickMark val="none"/>
        <c:minorTickMark val="none"/>
        <c:tickLblPos val="nextTo"/>
        <c:spPr>
          <a:noFill/>
          <a:ln>
            <a:solidFill>
              <a:srgbClr val="D0D5DE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679455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Total 12-Month Cost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_ChartData!$B$18</c:f>
              <c:strCache>
                <c:ptCount val="1"/>
                <c:pt idx="0">
                  <c:v>Gross Cost</c:v>
                </c:pt>
              </c:strCache>
            </c:strRef>
          </c:tx>
          <c:spPr>
            <a:solidFill>
              <a:srgbClr val="2C3E50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_ChartData!$A$19:$A$21</c:f>
              <c:strCache>
                <c:ptCount val="3"/>
                <c:pt idx="0">
                  <c:v>A - No Hedge</c:v>
                </c:pt>
                <c:pt idx="1">
                  <c:v>B - Swap Now</c:v>
                </c:pt>
                <c:pt idx="2">
                  <c:v>C - Full Stack</c:v>
                </c:pt>
              </c:strCache>
            </c:strRef>
          </c:cat>
          <c:val>
            <c:numRef>
              <c:f>_ChartData!$B$19:$B$21</c:f>
              <c:numCache>
                <c:formatCode>General</c:formatCode>
                <c:ptCount val="3"/>
                <c:pt idx="0">
                  <c:v>19600</c:v>
                </c:pt>
                <c:pt idx="1">
                  <c:v>19600</c:v>
                </c:pt>
                <c:pt idx="2">
                  <c:v>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D-42F0-8993-60ED5F12DE21}"/>
            </c:ext>
          </c:extLst>
        </c:ser>
        <c:ser>
          <c:idx val="1"/>
          <c:order val="1"/>
          <c:tx>
            <c:strRef>
              <c:f>_ChartData!$C$18</c:f>
              <c:strCache>
                <c:ptCount val="1"/>
                <c:pt idx="0">
                  <c:v>Net After Swap</c:v>
                </c:pt>
              </c:strCache>
            </c:strRef>
          </c:tx>
          <c:spPr>
            <a:solidFill>
              <a:srgbClr val="1ABC9C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_ChartData!$A$19:$A$21</c:f>
              <c:strCache>
                <c:ptCount val="3"/>
                <c:pt idx="0">
                  <c:v>A - No Hedge</c:v>
                </c:pt>
                <c:pt idx="1">
                  <c:v>B - Swap Now</c:v>
                </c:pt>
                <c:pt idx="2">
                  <c:v>C - Full Stack</c:v>
                </c:pt>
              </c:strCache>
            </c:strRef>
          </c:cat>
          <c:val>
            <c:numRef>
              <c:f>_ChartData!$C$19:$C$21</c:f>
              <c:numCache>
                <c:formatCode>General</c:formatCode>
                <c:ptCount val="3"/>
                <c:pt idx="0">
                  <c:v>19600</c:v>
                </c:pt>
                <c:pt idx="1">
                  <c:v>-37900</c:v>
                </c:pt>
                <c:pt idx="2">
                  <c:v>-49100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FD-42F0-8993-60ED5F12D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703935"/>
        <c:axId val="209700575"/>
      </c:barChart>
      <c:catAx>
        <c:axId val="209703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0D5D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00575"/>
        <c:crosses val="autoZero"/>
        <c:auto val="1"/>
        <c:lblAlgn val="ctr"/>
        <c:lblOffset val="100"/>
        <c:noMultiLvlLbl val="0"/>
      </c:catAx>
      <c:valAx>
        <c:axId val="2097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E8E8E8"/>
              </a:solidFill>
              <a:prstDash val="solid"/>
              <a:round/>
            </a:ln>
            <a:effectLst/>
          </c:spPr>
        </c:majorGridlines>
        <c:numFmt formatCode="[$$-409]#,##0;\([$$-409]#,##0\)" sourceLinked="0"/>
        <c:majorTickMark val="none"/>
        <c:minorTickMark val="none"/>
        <c:tickLblPos val="nextTo"/>
        <c:spPr>
          <a:noFill/>
          <a:ln>
            <a:solidFill>
              <a:srgbClr val="D0D5DE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03935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Risk Coverage — Scenario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_ChartData!$H$24</c:f>
              <c:strCache>
                <c:ptCount val="1"/>
                <c:pt idx="0">
                  <c:v>Coverage %</c:v>
                </c:pt>
              </c:strCache>
            </c:strRef>
          </c:tx>
          <c:spPr>
            <a:solidFill>
              <a:srgbClr val="1A6B3C"/>
            </a:solidFill>
          </c:spPr>
          <c:dPt>
            <c:idx val="0"/>
            <c:bubble3D val="0"/>
            <c:spPr>
              <a:solidFill>
                <a:srgbClr val="1ABC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783-46AA-B1E5-2ED9555169AE}"/>
              </c:ext>
            </c:extLst>
          </c:dPt>
          <c:dPt>
            <c:idx val="1"/>
            <c:bubble3D val="0"/>
            <c:spPr>
              <a:solidFill>
                <a:srgbClr val="27AE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83-46AA-B1E5-2ED9555169AE}"/>
              </c:ext>
            </c:extLst>
          </c:dPt>
          <c:dPt>
            <c:idx val="2"/>
            <c:bubble3D val="0"/>
            <c:spPr>
              <a:solidFill>
                <a:srgbClr val="2ECC7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783-46AA-B1E5-2ED9555169AE}"/>
              </c:ext>
            </c:extLst>
          </c:dPt>
          <c:dLbls>
            <c:numFmt formatCode="0&quot;%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_ChartData!$G$25:$G$27</c:f>
              <c:strCache>
                <c:ptCount val="3"/>
                <c:pt idx="0">
                  <c:v>Carbon Price Fall</c:v>
                </c:pt>
                <c:pt idx="1">
                  <c:v>Margin Call Risk</c:v>
                </c:pt>
                <c:pt idx="2">
                  <c:v>Registry Cancel</c:v>
                </c:pt>
              </c:strCache>
            </c:strRef>
          </c:cat>
          <c:val>
            <c:numRef>
              <c:f>_ChartData!$H$25:$H$27</c:f>
              <c:numCache>
                <c:formatCode>General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83-46AA-B1E5-2ED9555169AE}"/>
            </c:ext>
          </c:extLst>
        </c:ser>
        <c:ser>
          <c:idx val="1"/>
          <c:order val="1"/>
          <c:tx>
            <c:strRef>
              <c:f>_ChartData!$I$24</c:f>
              <c:strCache>
                <c:ptCount val="1"/>
                <c:pt idx="0">
                  <c:v>Gap %</c:v>
                </c:pt>
              </c:strCache>
            </c:strRef>
          </c:tx>
          <c:spPr>
            <a:solidFill>
              <a:srgbClr val="C0392B"/>
            </a:solidFill>
          </c:spPr>
          <c:dPt>
            <c:idx val="0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_ChartData!$G$25:$G$27</c:f>
              <c:strCache>
                <c:ptCount val="3"/>
                <c:pt idx="0">
                  <c:v>Carbon Price Fall</c:v>
                </c:pt>
                <c:pt idx="1">
                  <c:v>Margin Call Risk</c:v>
                </c:pt>
                <c:pt idx="2">
                  <c:v>Registry Cancel</c:v>
                </c:pt>
              </c:strCache>
            </c:strRef>
          </c:cat>
          <c:val>
            <c:numRef>
              <c:f>_ChartData!$I$25:$I$27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83-46AA-B1E5-2ED955516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solidFill>
          <a:srgbClr val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Quarterly Net Cashflow by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_ChartData!$B$10</c:f>
              <c:strCache>
                <c:ptCount val="1"/>
                <c:pt idx="0">
                  <c:v>Scenario A</c:v>
                </c:pt>
              </c:strCache>
            </c:strRef>
          </c:tx>
          <c:spPr>
            <a:solidFill>
              <a:srgbClr val="C0392B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_ChartData!$A$11:$A$14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_ChartData!$B$11:$B$14</c:f>
              <c:numCache>
                <c:formatCode>General</c:formatCode>
                <c:ptCount val="4"/>
                <c:pt idx="0">
                  <c:v>4900</c:v>
                </c:pt>
                <c:pt idx="1">
                  <c:v>4900</c:v>
                </c:pt>
                <c:pt idx="2">
                  <c:v>4900</c:v>
                </c:pt>
                <c:pt idx="3">
                  <c:v>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9-4E7B-951E-E22C873D77BA}"/>
            </c:ext>
          </c:extLst>
        </c:ser>
        <c:ser>
          <c:idx val="1"/>
          <c:order val="1"/>
          <c:tx>
            <c:strRef>
              <c:f>_ChartData!$C$10</c:f>
              <c:strCache>
                <c:ptCount val="1"/>
                <c:pt idx="0">
                  <c:v>Scenario B (net)</c:v>
                </c:pt>
              </c:strCache>
            </c:strRef>
          </c:tx>
          <c:spPr>
            <a:solidFill>
              <a:srgbClr val="1565C0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_ChartData!$A$11:$A$14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_ChartData!$C$11:$C$14</c:f>
              <c:numCache>
                <c:formatCode>General</c:formatCode>
                <c:ptCount val="4"/>
                <c:pt idx="0">
                  <c:v>4900</c:v>
                </c:pt>
                <c:pt idx="1">
                  <c:v>-20100</c:v>
                </c:pt>
                <c:pt idx="2">
                  <c:v>-20100</c:v>
                </c:pt>
                <c:pt idx="3">
                  <c:v>-2600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C9-4E7B-951E-E22C873D77BA}"/>
            </c:ext>
          </c:extLst>
        </c:ser>
        <c:ser>
          <c:idx val="2"/>
          <c:order val="2"/>
          <c:tx>
            <c:strRef>
              <c:f>_ChartData!$D$10</c:f>
              <c:strCache>
                <c:ptCount val="1"/>
                <c:pt idx="0">
                  <c:v>Scenario C (net)</c:v>
                </c:pt>
              </c:strCache>
            </c:strRef>
          </c:tx>
          <c:spPr>
            <a:solidFill>
              <a:srgbClr val="00695C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_ChartData!$A$11:$A$14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_ChartData!$D$11:$D$14</c:f>
              <c:numCache>
                <c:formatCode>General</c:formatCode>
                <c:ptCount val="4"/>
                <c:pt idx="0">
                  <c:v>7000</c:v>
                </c:pt>
                <c:pt idx="1">
                  <c:v>-18000</c:v>
                </c:pt>
                <c:pt idx="2">
                  <c:v>-18000</c:v>
                </c:pt>
                <c:pt idx="3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C9-4E7B-951E-E22C873D7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0175"/>
        <c:axId val="209710655"/>
      </c:barChart>
      <c:catAx>
        <c:axId val="2097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0D5D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10655"/>
        <c:crosses val="autoZero"/>
        <c:auto val="1"/>
        <c:lblAlgn val="ctr"/>
        <c:lblOffset val="100"/>
        <c:noMultiLvlLbl val="0"/>
      </c:catAx>
      <c:valAx>
        <c:axId val="20971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8E8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4A5568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N"/>
                  <a:t>USD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rgbClr val="4A5568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[$$-409]#,##0;\([$$-409]#,##0\)" sourceLinked="0"/>
        <c:majorTickMark val="none"/>
        <c:minorTickMark val="none"/>
        <c:tickLblPos val="nextTo"/>
        <c:spPr>
          <a:noFill/>
          <a:ln>
            <a:solidFill>
              <a:srgbClr val="D0D5DE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10175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85725</xdr:rowOff>
        </xdr:from>
        <xdr:to>
          <xdr:col>4</xdr:col>
          <xdr:colOff>371475</xdr:colOff>
          <xdr:row>20</xdr:row>
          <xdr:rowOff>342900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3A01964-8787-3D1B-253D-2E74E2485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TO ACTUS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53</xdr:row>
      <xdr:rowOff>60325</xdr:rowOff>
    </xdr:from>
    <xdr:to>
      <xdr:col>5</xdr:col>
      <xdr:colOff>571500</xdr:colOff>
      <xdr:row>77</xdr:row>
      <xdr:rowOff>60325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91F4FC-2ABF-3B4E-50B7-CEE03EB6D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</xdr:colOff>
      <xdr:row>78</xdr:row>
      <xdr:rowOff>123825</xdr:rowOff>
    </xdr:from>
    <xdr:to>
      <xdr:col>5</xdr:col>
      <xdr:colOff>571500</xdr:colOff>
      <xdr:row>102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0D47860-10A7-00CA-9B1F-6A0485866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698500</xdr:colOff>
      <xdr:row>78</xdr:row>
      <xdr:rowOff>123825</xdr:rowOff>
    </xdr:from>
    <xdr:to>
      <xdr:col>10</xdr:col>
      <xdr:colOff>473075</xdr:colOff>
      <xdr:row>102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24E383-81DE-71BD-CD56-EC7FF4E7F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698500</xdr:colOff>
      <xdr:row>53</xdr:row>
      <xdr:rowOff>60325</xdr:rowOff>
    </xdr:from>
    <xdr:to>
      <xdr:col>10</xdr:col>
      <xdr:colOff>473075</xdr:colOff>
      <xdr:row>77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09ED740-78AF-6A62-88BC-5FBB75EC5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1435AA7-C6C3-4710-89B0-FEE5625043B8}" autoFormatId="16" applyNumberFormats="0" applyBorderFormats="0" applyFontFormats="0" applyPatternFormats="0" applyAlignmentFormats="0" applyWidthHeightFormats="0">
  <queryTableRefresh nextId="8">
    <queryTableFields count="7">
      <queryTableField id="1" name="Scenario" tableColumnId="1"/>
      <queryTableField id="2" name="EventType" tableColumnId="2"/>
      <queryTableField id="3" name="EventDate" tableColumnId="3"/>
      <queryTableField id="4" name="Payoff" tableColumnId="4"/>
      <queryTableField id="5" name="Currency" tableColumnId="5"/>
      <queryTableField id="6" name="NominalValue" tableColumnId="6"/>
      <queryTableField id="7" name="NominalRat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C35D0BB3-E38F-4A0D-8F6A-C323F35741E3}" autoFormatId="16" applyNumberFormats="0" applyBorderFormats="0" applyFontFormats="0" applyPatternFormats="0" applyAlignmentFormats="0" applyWidthHeightFormats="0">
  <queryTableRefresh nextId="9">
    <queryTableFields count="8">
      <queryTableField id="1" name="Scenario" tableColumnId="1"/>
      <queryTableField id="2" name="ContractID" tableColumnId="2"/>
      <queryTableField id="3" name="EventType" tableColumnId="3"/>
      <queryTableField id="4" name="EventDate" tableColumnId="4"/>
      <queryTableField id="5" name="Payoff" tableColumnId="5"/>
      <queryTableField id="6" name="Currency" tableColumnId="6"/>
      <queryTableField id="7" name="NominalValue" tableColumnId="7"/>
      <queryTableField id="8" name="NominalR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BD19944-EEE5-470E-BB9B-32A244DCC57E}" autoFormatId="16" applyNumberFormats="0" applyBorderFormats="0" applyFontFormats="0" applyPatternFormats="0" applyAlignmentFormats="0" applyWidthHeightFormats="0">
  <queryTableRefresh nextId="9">
    <queryTableFields count="8">
      <queryTableField id="1" name="Scenario" tableColumnId="1"/>
      <queryTableField id="2" name="ContractID" tableColumnId="2"/>
      <queryTableField id="3" name="EventType" tableColumnId="3"/>
      <queryTableField id="4" name="EventDate" tableColumnId="4"/>
      <queryTableField id="5" name="Payoff" tableColumnId="5"/>
      <queryTableField id="6" name="Currency" tableColumnId="6"/>
      <queryTableField id="7" name="NominalValue" tableColumnId="7"/>
      <queryTableField id="8" name="NominalRat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3FBD3B-CCE3-47AD-95A9-FDAE794496EB}" name="ACTUSInputs" displayName="ACTUSInputs" ref="H7:I17" totalsRowShown="0" tableBorderDxfId="4">
  <autoFilter ref="H7:I17" xr:uid="{D33FBD3B-CCE3-47AD-95A9-FDAE794496EB}">
    <filterColumn colId="0" hiddenButton="1"/>
    <filterColumn colId="1" hiddenButton="1"/>
  </autoFilter>
  <tableColumns count="2">
    <tableColumn id="1" xr3:uid="{8FCF2ED5-8E1A-4F7B-83EB-332D66D2216D}" name="Name" dataDxfId="3"/>
    <tableColumn id="2" xr3:uid="{FA444514-7522-4CFA-BD90-75A0DFF58F12}" name="Value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6A1BDBA-73B7-4C6F-A7E0-21E66CB23AB6}" name="Carbon_A" displayName="Carbon_A" ref="A8:G14" tableType="queryTable" totalsRowShown="0">
  <autoFilter ref="A8:G14" xr:uid="{F6A1BDBA-73B7-4C6F-A7E0-21E66CB23AB6}"/>
  <tableColumns count="7">
    <tableColumn id="1" xr3:uid="{2A31992B-AA40-43AB-8EC9-398BC561EE94}" uniqueName="1" name="Scenario" queryTableFieldId="1" dataDxfId="1"/>
    <tableColumn id="2" xr3:uid="{4668B8D3-05DF-44BD-9AF5-6E675B4AF8A7}" uniqueName="2" name="EventType" queryTableFieldId="2"/>
    <tableColumn id="3" xr3:uid="{02463089-9F23-44D2-B63A-F6FA31B31D62}" uniqueName="3" name="EventDate" queryTableFieldId="3"/>
    <tableColumn id="4" xr3:uid="{5D45EB96-AB98-4008-8A87-58BE2CD59936}" uniqueName="4" name="Payoff" queryTableFieldId="4"/>
    <tableColumn id="5" xr3:uid="{5EEB88B3-F2E2-4C0A-95A8-A87D74B97ED5}" uniqueName="5" name="Currency" queryTableFieldId="5"/>
    <tableColumn id="6" xr3:uid="{9957F508-4E12-4FB6-8600-930129DCACAC}" uniqueName="6" name="NominalValue" queryTableFieldId="6"/>
    <tableColumn id="7" xr3:uid="{B9C9417E-3963-410C-AD2D-4176214435DA}" uniqueName="7" name="NominalRate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D448AC5-F746-4434-B541-DDF3F67C1FA7}" name="Carbon_B" displayName="Carbon_B" ref="A17:H39" tableType="queryTable" totalsRowShown="0">
  <autoFilter ref="A17:H39" xr:uid="{5D448AC5-F746-4434-B541-DDF3F67C1FA7}"/>
  <tableColumns count="8">
    <tableColumn id="1" xr3:uid="{647E0FF8-ADA2-4DBF-ACE9-DD5B4603C14D}" uniqueName="1" name="Scenario" queryTableFieldId="1" dataDxfId="2"/>
    <tableColumn id="2" xr3:uid="{A4EA0CEE-1EE1-40EC-A1B1-3B59D70C29CE}" uniqueName="2" name="ContractID" queryTableFieldId="2"/>
    <tableColumn id="3" xr3:uid="{D85BED7E-747D-44AE-86F7-E7DCB406B129}" uniqueName="3" name="EventType" queryTableFieldId="3"/>
    <tableColumn id="4" xr3:uid="{C37F9163-D37C-426D-9881-F436A4D5980D}" uniqueName="4" name="EventDate" queryTableFieldId="4"/>
    <tableColumn id="5" xr3:uid="{2C0799EF-EB89-419B-BA94-786FD55EF14E}" uniqueName="5" name="Payoff" queryTableFieldId="5"/>
    <tableColumn id="6" xr3:uid="{2BEEA0A2-1CA1-4823-997C-2A24D35312AA}" uniqueName="6" name="Currency" queryTableFieldId="6"/>
    <tableColumn id="7" xr3:uid="{DA9E5CE3-B75C-46F8-91D7-DA8099764CB1}" uniqueName="7" name="NominalValue" queryTableFieldId="7"/>
    <tableColumn id="8" xr3:uid="{65D65A8A-F4DA-49FD-9F20-0733EB9DB562}" uniqueName="8" name="NominalRat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E740763-51B3-41BC-9493-C23650FA95D1}" name="Carbon_C" displayName="Carbon_C" ref="A42:H70" tableType="queryTable" totalsRowShown="0">
  <autoFilter ref="A42:H70" xr:uid="{7E740763-51B3-41BC-9493-C23650FA95D1}"/>
  <tableColumns count="8">
    <tableColumn id="1" xr3:uid="{546CC663-CC6E-4D9C-93FA-84E7F619F897}" uniqueName="1" name="Scenario" queryTableFieldId="1" dataDxfId="0"/>
    <tableColumn id="2" xr3:uid="{340359D3-D6A0-4011-9226-72216A45E209}" uniqueName="2" name="ContractID" queryTableFieldId="2"/>
    <tableColumn id="3" xr3:uid="{5450BB3C-0528-4480-8D19-53FF9F50FE58}" uniqueName="3" name="EventType" queryTableFieldId="3"/>
    <tableColumn id="4" xr3:uid="{C9AE0F50-B119-44A4-A39E-AD65C25CABE1}" uniqueName="4" name="EventDate" queryTableFieldId="4"/>
    <tableColumn id="5" xr3:uid="{8DDB313D-9A52-493D-A853-252B933B9660}" uniqueName="5" name="Payoff" queryTableFieldId="5"/>
    <tableColumn id="6" xr3:uid="{F527C87A-CCAF-4393-A4A5-71A19231BD03}" uniqueName="6" name="Currency" queryTableFieldId="6"/>
    <tableColumn id="7" xr3:uid="{5F119F82-3D17-4111-A857-5194F1E272EE}" uniqueName="7" name="NominalValue" queryTableFieldId="7"/>
    <tableColumn id="8" xr3:uid="{5E42DA11-9476-4787-9ACD-28FFE298DCB1}" uniqueName="8" name="NominalRat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D667FF5-3ED4-434D-B394-FDEFEC36138B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6B3C"/>
  </sheetPr>
  <dimension ref="A1:M79"/>
  <sheetViews>
    <sheetView showGridLines="0" zoomScale="145" zoomScaleNormal="145" workbookViewId="0">
      <pane ySplit="7" topLeftCell="A8" activePane="bottomLeft" state="frozen"/>
      <selection pane="bottomLeft" activeCell="C16" sqref="C16"/>
    </sheetView>
  </sheetViews>
  <sheetFormatPr defaultColWidth="8.7109375" defaultRowHeight="15" x14ac:dyDescent="0.25"/>
  <cols>
    <col min="1" max="1" width="5.28515625" customWidth="1"/>
    <col min="2" max="2" width="37.28515625" customWidth="1"/>
    <col min="3" max="3" width="24" customWidth="1"/>
    <col min="4" max="4" width="16" customWidth="1"/>
    <col min="5" max="5" width="61.28515625" customWidth="1"/>
    <col min="6" max="6" width="9.5703125" customWidth="1"/>
    <col min="7" max="7" width="40" customWidth="1"/>
    <col min="8" max="8" width="15.42578125" customWidth="1"/>
    <col min="9" max="9" width="13.42578125" customWidth="1"/>
    <col min="10" max="10" width="17" customWidth="1"/>
    <col min="11" max="12" width="20.85546875" customWidth="1"/>
    <col min="14" max="14" width="21" customWidth="1"/>
    <col min="15" max="15" width="17.140625" customWidth="1"/>
  </cols>
  <sheetData>
    <row r="1" spans="1:9" ht="19.5" customHeight="1" x14ac:dyDescent="0.25">
      <c r="A1" s="176" t="s">
        <v>0</v>
      </c>
      <c r="B1" s="176"/>
      <c r="C1" s="176"/>
      <c r="D1" s="176"/>
      <c r="E1" s="176"/>
      <c r="F1" s="176"/>
      <c r="G1" s="176"/>
    </row>
    <row r="2" spans="1:9" ht="21.75" customHeight="1" x14ac:dyDescent="0.25">
      <c r="A2" s="177"/>
      <c r="B2" s="177"/>
      <c r="C2" s="177"/>
      <c r="D2" s="177"/>
      <c r="E2" s="177"/>
      <c r="F2" s="177"/>
      <c r="G2" s="177"/>
    </row>
    <row r="3" spans="1:9" ht="13.5" customHeight="1" x14ac:dyDescent="0.25">
      <c r="A3" s="177"/>
      <c r="B3" s="177"/>
      <c r="C3" s="177"/>
      <c r="D3" s="177"/>
      <c r="E3" s="177"/>
      <c r="F3" s="177"/>
      <c r="G3" s="177"/>
    </row>
    <row r="4" spans="1:9" ht="24.75" customHeight="1" x14ac:dyDescent="0.25">
      <c r="A4" s="170" t="s">
        <v>1</v>
      </c>
      <c r="B4" s="171"/>
      <c r="C4" s="171"/>
      <c r="D4" s="171"/>
      <c r="E4" s="171"/>
      <c r="F4" s="171"/>
      <c r="G4" s="171"/>
    </row>
    <row r="5" spans="1:9" ht="20.25" customHeight="1" x14ac:dyDescent="0.25">
      <c r="A5" s="126"/>
      <c r="B5" s="126"/>
      <c r="C5" s="126"/>
      <c r="D5" s="126"/>
      <c r="E5" s="126"/>
      <c r="F5" s="126"/>
      <c r="G5" s="126"/>
    </row>
    <row r="6" spans="1:9" ht="18.75" customHeight="1" x14ac:dyDescent="0.25">
      <c r="A6" s="127"/>
      <c r="B6" s="127"/>
      <c r="C6" s="127"/>
      <c r="D6" s="127"/>
      <c r="E6" s="127"/>
      <c r="F6" s="127"/>
      <c r="G6" s="127"/>
      <c r="H6" s="154" t="s">
        <v>268</v>
      </c>
    </row>
    <row r="7" spans="1:9" ht="18" customHeight="1" thickBot="1" x14ac:dyDescent="0.3">
      <c r="A7" s="128" t="s">
        <v>2</v>
      </c>
      <c r="B7" s="128" t="s">
        <v>3</v>
      </c>
      <c r="C7" s="128" t="s">
        <v>4</v>
      </c>
      <c r="D7" s="128" t="s">
        <v>5</v>
      </c>
      <c r="E7" s="129" t="s">
        <v>6</v>
      </c>
      <c r="F7" s="127"/>
      <c r="G7" s="127"/>
      <c r="H7" s="157" t="s">
        <v>10</v>
      </c>
      <c r="I7" s="158" t="s">
        <v>262</v>
      </c>
    </row>
    <row r="8" spans="1:9" ht="18" customHeight="1" x14ac:dyDescent="0.25">
      <c r="A8" s="172" t="s">
        <v>7</v>
      </c>
      <c r="B8" s="173"/>
      <c r="C8" s="173"/>
      <c r="D8" s="173"/>
      <c r="E8" s="173"/>
      <c r="F8" s="173"/>
      <c r="G8" s="174"/>
      <c r="H8" s="155" t="s">
        <v>263</v>
      </c>
      <c r="I8" s="160">
        <f>C12</f>
        <v>10000</v>
      </c>
    </row>
    <row r="9" spans="1:9" ht="3.75" customHeight="1" x14ac:dyDescent="0.25">
      <c r="A9" s="130"/>
      <c r="B9" s="130"/>
      <c r="C9" s="130"/>
      <c r="D9" s="130"/>
      <c r="E9" s="130"/>
      <c r="F9" s="130"/>
      <c r="G9" s="130"/>
      <c r="H9" s="156" t="s">
        <v>264</v>
      </c>
      <c r="I9" s="161">
        <f>C13</f>
        <v>55</v>
      </c>
    </row>
    <row r="10" spans="1:9" ht="19.5" customHeight="1" x14ac:dyDescent="0.25">
      <c r="A10" s="131">
        <v>1</v>
      </c>
      <c r="B10" s="132" t="s">
        <v>8</v>
      </c>
      <c r="C10" s="133" t="s">
        <v>9</v>
      </c>
      <c r="D10" s="134" t="s">
        <v>10</v>
      </c>
      <c r="E10" s="135" t="s">
        <v>11</v>
      </c>
      <c r="F10" s="127"/>
      <c r="G10" s="127"/>
      <c r="H10" s="156" t="s">
        <v>265</v>
      </c>
      <c r="I10" s="161">
        <f>C14</f>
        <v>15</v>
      </c>
    </row>
    <row r="11" spans="1:9" ht="19.5" customHeight="1" x14ac:dyDescent="0.25">
      <c r="A11" s="136">
        <v>2</v>
      </c>
      <c r="B11" s="137" t="s">
        <v>12</v>
      </c>
      <c r="C11" s="138" t="s">
        <v>13</v>
      </c>
      <c r="D11" s="139" t="s">
        <v>14</v>
      </c>
      <c r="E11" s="140" t="s">
        <v>15</v>
      </c>
      <c r="F11" s="141"/>
      <c r="G11" s="141"/>
      <c r="H11" s="156" t="s">
        <v>266</v>
      </c>
      <c r="I11" s="161">
        <f>C15</f>
        <v>35</v>
      </c>
    </row>
    <row r="12" spans="1:9" ht="19.5" customHeight="1" x14ac:dyDescent="0.25">
      <c r="A12" s="15">
        <v>3</v>
      </c>
      <c r="B12" s="16" t="s">
        <v>16</v>
      </c>
      <c r="C12" s="23">
        <v>10000</v>
      </c>
      <c r="D12" s="17" t="s">
        <v>17</v>
      </c>
      <c r="E12" s="18" t="s">
        <v>18</v>
      </c>
      <c r="F12" s="13"/>
      <c r="G12" s="13"/>
      <c r="H12" s="156" t="s">
        <v>257</v>
      </c>
      <c r="I12" s="162">
        <f>C16</f>
        <v>100000</v>
      </c>
    </row>
    <row r="13" spans="1:9" ht="19.5" customHeight="1" x14ac:dyDescent="0.25">
      <c r="A13" s="19">
        <v>4</v>
      </c>
      <c r="B13" s="20" t="s">
        <v>19</v>
      </c>
      <c r="C13" s="24">
        <v>55</v>
      </c>
      <c r="D13" s="21" t="s">
        <v>20</v>
      </c>
      <c r="E13" s="22" t="s">
        <v>21</v>
      </c>
      <c r="F13" s="13"/>
      <c r="G13" s="13"/>
      <c r="H13" s="156" t="s">
        <v>258</v>
      </c>
      <c r="I13" s="163">
        <f>C17</f>
        <v>46023</v>
      </c>
    </row>
    <row r="14" spans="1:9" ht="19.5" customHeight="1" x14ac:dyDescent="0.25">
      <c r="A14" s="15">
        <v>5</v>
      </c>
      <c r="B14" s="16" t="s">
        <v>22</v>
      </c>
      <c r="C14" s="24">
        <v>15</v>
      </c>
      <c r="D14" s="17" t="s">
        <v>20</v>
      </c>
      <c r="E14" s="18" t="s">
        <v>23</v>
      </c>
      <c r="F14" s="13"/>
      <c r="G14" s="13"/>
      <c r="H14" s="156" t="s">
        <v>267</v>
      </c>
      <c r="I14" s="163">
        <f>C18</f>
        <v>46388</v>
      </c>
    </row>
    <row r="15" spans="1:9" ht="19.5" customHeight="1" x14ac:dyDescent="0.25">
      <c r="A15" s="19">
        <v>6</v>
      </c>
      <c r="B15" s="20" t="s">
        <v>24</v>
      </c>
      <c r="C15" s="24">
        <v>35</v>
      </c>
      <c r="D15" s="21" t="s">
        <v>20</v>
      </c>
      <c r="E15" s="22" t="s">
        <v>25</v>
      </c>
      <c r="F15" s="13"/>
      <c r="G15" s="13"/>
      <c r="H15" s="156" t="s">
        <v>259</v>
      </c>
      <c r="I15" s="161">
        <f>C19</f>
        <v>38</v>
      </c>
    </row>
    <row r="16" spans="1:9" ht="19.5" customHeight="1" x14ac:dyDescent="0.25">
      <c r="A16" s="15">
        <v>7</v>
      </c>
      <c r="B16" s="16" t="s">
        <v>26</v>
      </c>
      <c r="C16" s="25">
        <v>100000</v>
      </c>
      <c r="D16" s="17" t="s">
        <v>27</v>
      </c>
      <c r="E16" s="18" t="s">
        <v>28</v>
      </c>
      <c r="F16" s="13"/>
      <c r="G16" s="13"/>
      <c r="H16" s="156" t="s">
        <v>260</v>
      </c>
      <c r="I16" s="164">
        <f>C20</f>
        <v>0.02</v>
      </c>
    </row>
    <row r="17" spans="1:13" ht="19.5" customHeight="1" x14ac:dyDescent="0.25">
      <c r="A17" s="19">
        <v>8</v>
      </c>
      <c r="B17" s="20" t="s">
        <v>29</v>
      </c>
      <c r="C17" s="26">
        <v>46023</v>
      </c>
      <c r="D17" s="21" t="s">
        <v>30</v>
      </c>
      <c r="E17" s="22" t="s">
        <v>31</v>
      </c>
      <c r="F17" s="13"/>
      <c r="G17" s="13"/>
      <c r="H17" s="159" t="s">
        <v>261</v>
      </c>
      <c r="I17" s="165">
        <f>C21</f>
        <v>0.09</v>
      </c>
    </row>
    <row r="18" spans="1:13" ht="19.5" customHeight="1" x14ac:dyDescent="0.25">
      <c r="A18" s="15">
        <v>9</v>
      </c>
      <c r="B18" s="16" t="s">
        <v>32</v>
      </c>
      <c r="C18" s="26">
        <v>46388</v>
      </c>
      <c r="D18" s="17" t="s">
        <v>30</v>
      </c>
      <c r="E18" s="18" t="s">
        <v>33</v>
      </c>
      <c r="F18" s="13"/>
      <c r="G18" s="13"/>
    </row>
    <row r="19" spans="1:13" ht="19.5" customHeight="1" x14ac:dyDescent="0.25">
      <c r="A19" s="19">
        <v>10</v>
      </c>
      <c r="B19" s="20" t="s">
        <v>34</v>
      </c>
      <c r="C19" s="27">
        <v>38</v>
      </c>
      <c r="D19" s="21" t="s">
        <v>20</v>
      </c>
      <c r="E19" s="22" t="s">
        <v>35</v>
      </c>
      <c r="F19" s="13"/>
      <c r="G19" s="13"/>
    </row>
    <row r="20" spans="1:13" ht="19.5" customHeight="1" x14ac:dyDescent="0.25">
      <c r="A20" s="15">
        <v>11</v>
      </c>
      <c r="B20" s="16" t="s">
        <v>36</v>
      </c>
      <c r="C20" s="28">
        <v>0.02</v>
      </c>
      <c r="D20" s="17" t="s">
        <v>37</v>
      </c>
      <c r="E20" s="18" t="s">
        <v>38</v>
      </c>
      <c r="F20" s="13"/>
      <c r="G20" s="13"/>
    </row>
    <row r="21" spans="1:13" ht="19.5" customHeight="1" x14ac:dyDescent="0.25">
      <c r="A21" s="19">
        <v>12</v>
      </c>
      <c r="B21" s="20" t="s">
        <v>39</v>
      </c>
      <c r="C21" s="28">
        <v>0.09</v>
      </c>
      <c r="D21" s="21" t="s">
        <v>37</v>
      </c>
      <c r="E21" s="22" t="s">
        <v>40</v>
      </c>
      <c r="F21" s="13"/>
      <c r="G21" s="13"/>
    </row>
    <row r="22" spans="1:13" ht="15" customHeight="1" x14ac:dyDescent="0.25">
      <c r="A22" s="13"/>
      <c r="B22" s="13"/>
      <c r="C22" s="13"/>
      <c r="D22" s="13"/>
      <c r="E22" s="13"/>
      <c r="F22" s="13"/>
      <c r="G22" s="13"/>
    </row>
    <row r="23" spans="1:13" ht="7.5" customHeight="1" x14ac:dyDescent="0.25">
      <c r="A23" s="13"/>
      <c r="B23" s="13"/>
      <c r="C23" s="13"/>
      <c r="D23" s="13"/>
      <c r="E23" s="13"/>
      <c r="F23" s="13"/>
      <c r="G23" s="13"/>
    </row>
    <row r="24" spans="1:13" ht="18" customHeight="1" x14ac:dyDescent="0.25">
      <c r="A24" s="167" t="s">
        <v>41</v>
      </c>
      <c r="B24" s="168"/>
      <c r="C24" s="168"/>
      <c r="D24" s="168"/>
      <c r="E24" s="168"/>
      <c r="F24" s="168"/>
      <c r="G24" s="169"/>
    </row>
    <row r="25" spans="1:13" ht="3.75" customHeight="1" x14ac:dyDescent="0.25">
      <c r="A25" s="130"/>
      <c r="B25" s="166"/>
      <c r="C25" s="166"/>
      <c r="D25" s="166"/>
      <c r="E25" s="166"/>
      <c r="F25" s="166"/>
      <c r="G25" s="166"/>
    </row>
    <row r="26" spans="1:13" ht="19.5" customHeight="1" x14ac:dyDescent="0.25">
      <c r="A26" s="127"/>
      <c r="B26" s="132" t="s">
        <v>42</v>
      </c>
      <c r="C26" s="143">
        <f>C12*C13</f>
        <v>550000</v>
      </c>
      <c r="D26" s="134" t="s">
        <v>43</v>
      </c>
      <c r="E26" s="135" t="s">
        <v>44</v>
      </c>
      <c r="F26" s="127"/>
      <c r="G26" s="127"/>
    </row>
    <row r="27" spans="1:13" ht="19.5" customHeight="1" x14ac:dyDescent="0.25">
      <c r="A27" s="127"/>
      <c r="B27" s="144" t="s">
        <v>45</v>
      </c>
      <c r="C27" s="145">
        <f>C12*C14</f>
        <v>150000</v>
      </c>
      <c r="D27" s="146" t="s">
        <v>43</v>
      </c>
      <c r="E27" s="147" t="s">
        <v>46</v>
      </c>
      <c r="F27" s="127"/>
      <c r="G27" s="127"/>
    </row>
    <row r="28" spans="1:13" ht="19.5" customHeight="1" x14ac:dyDescent="0.25">
      <c r="A28" s="127"/>
      <c r="B28" s="132" t="s">
        <v>47</v>
      </c>
      <c r="C28" s="148">
        <f>C16/C12/C13</f>
        <v>0.18181818181818182</v>
      </c>
      <c r="D28" s="134" t="s">
        <v>48</v>
      </c>
      <c r="E28" s="135" t="s">
        <v>49</v>
      </c>
      <c r="F28" s="127"/>
      <c r="G28" s="127"/>
    </row>
    <row r="29" spans="1:13" ht="19.5" customHeight="1" x14ac:dyDescent="0.25">
      <c r="A29" s="127"/>
      <c r="B29" s="144" t="s">
        <v>50</v>
      </c>
      <c r="C29" s="149">
        <f>C16/C12/C14</f>
        <v>0.66666666666666663</v>
      </c>
      <c r="D29" s="146" t="s">
        <v>48</v>
      </c>
      <c r="E29" s="147" t="s">
        <v>51</v>
      </c>
      <c r="F29" s="127"/>
      <c r="G29" s="127"/>
    </row>
    <row r="30" spans="1:13" ht="19.5" customHeight="1" x14ac:dyDescent="0.25">
      <c r="A30" s="127"/>
      <c r="B30" s="144" t="s">
        <v>52</v>
      </c>
      <c r="C30" s="145">
        <f>C16/C12</f>
        <v>10</v>
      </c>
      <c r="D30" s="146" t="s">
        <v>20</v>
      </c>
      <c r="E30" s="147" t="s">
        <v>53</v>
      </c>
      <c r="F30" s="127"/>
      <c r="G30" s="127"/>
    </row>
    <row r="31" spans="1:13" ht="19.5" customHeight="1" x14ac:dyDescent="0.25">
      <c r="A31" s="127"/>
      <c r="B31" s="150" t="s">
        <v>54</v>
      </c>
      <c r="C31" s="143">
        <f>(C19-C14)*C12</f>
        <v>230000</v>
      </c>
      <c r="D31" s="151" t="s">
        <v>43</v>
      </c>
      <c r="E31" s="152" t="s">
        <v>55</v>
      </c>
      <c r="F31" s="127"/>
      <c r="G31" s="127"/>
      <c r="J31" s="127"/>
      <c r="K31" s="127"/>
      <c r="L31" s="127"/>
      <c r="M31" s="13"/>
    </row>
    <row r="32" spans="1:13" ht="19.5" customHeight="1" x14ac:dyDescent="0.25">
      <c r="A32" s="127"/>
      <c r="B32" s="132" t="s">
        <v>56</v>
      </c>
      <c r="C32" s="143">
        <f>C20*C12*C13</f>
        <v>11000</v>
      </c>
      <c r="D32" s="134" t="s">
        <v>43</v>
      </c>
      <c r="E32" s="135" t="s">
        <v>57</v>
      </c>
      <c r="F32" s="127"/>
      <c r="G32" s="127"/>
      <c r="J32" s="127"/>
      <c r="K32" s="127"/>
      <c r="L32" s="127"/>
      <c r="M32" s="13"/>
    </row>
    <row r="33" spans="1:13" ht="19.5" customHeight="1" x14ac:dyDescent="0.25">
      <c r="A33" s="127"/>
      <c r="B33" s="150" t="s">
        <v>58</v>
      </c>
      <c r="C33" s="143">
        <f>C16*C21</f>
        <v>9000</v>
      </c>
      <c r="D33" s="151" t="s">
        <v>43</v>
      </c>
      <c r="E33" s="152" t="s">
        <v>59</v>
      </c>
      <c r="F33" s="127"/>
      <c r="G33" s="127"/>
      <c r="J33" s="127"/>
      <c r="K33" s="127"/>
      <c r="L33" s="127"/>
      <c r="M33" s="13"/>
    </row>
    <row r="34" spans="1:13" ht="15" customHeight="1" x14ac:dyDescent="0.25">
      <c r="A34" s="141"/>
      <c r="B34" s="141"/>
      <c r="C34" s="153"/>
      <c r="D34" s="141"/>
      <c r="E34" s="141"/>
      <c r="F34" s="141"/>
      <c r="G34" s="141"/>
      <c r="J34" s="141"/>
      <c r="K34" s="141"/>
      <c r="L34" s="141"/>
      <c r="M34" s="13"/>
    </row>
    <row r="35" spans="1:13" ht="7.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ht="18" customHeight="1" x14ac:dyDescent="0.25">
      <c r="A36" s="10" t="s">
        <v>60</v>
      </c>
      <c r="B36" s="17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3"/>
    </row>
    <row r="37" spans="1:13" ht="3.7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</row>
    <row r="38" spans="1:13" ht="15.75" customHeight="1" x14ac:dyDescent="0.25">
      <c r="A38" s="14" t="s">
        <v>61</v>
      </c>
      <c r="B38" s="14" t="s">
        <v>62</v>
      </c>
      <c r="C38" s="14" t="s">
        <v>63</v>
      </c>
      <c r="D38" s="14" t="s">
        <v>64</v>
      </c>
      <c r="E38" s="14" t="s">
        <v>65</v>
      </c>
      <c r="F38" s="14" t="s">
        <v>66</v>
      </c>
      <c r="G38" s="14" t="s">
        <v>67</v>
      </c>
      <c r="H38" s="13"/>
      <c r="I38" s="13"/>
      <c r="J38" s="13"/>
      <c r="K38" s="13"/>
      <c r="L38" s="13"/>
      <c r="M38" s="13"/>
    </row>
    <row r="39" spans="1:13" ht="19.5" customHeight="1" x14ac:dyDescent="0.25">
      <c r="A39" s="29" t="s">
        <v>68</v>
      </c>
      <c r="B39" s="29" t="s">
        <v>69</v>
      </c>
      <c r="C39" s="30">
        <v>42</v>
      </c>
      <c r="D39" s="31">
        <v>1</v>
      </c>
      <c r="E39" s="32">
        <v>420000</v>
      </c>
      <c r="F39" s="33">
        <v>0.66700000000000004</v>
      </c>
      <c r="G39" s="34" t="s">
        <v>70</v>
      </c>
      <c r="H39" s="13"/>
      <c r="I39" s="13"/>
      <c r="J39" s="13"/>
      <c r="K39" s="13"/>
      <c r="L39" s="13"/>
      <c r="M39" s="13"/>
    </row>
    <row r="40" spans="1:13" ht="19.5" customHeight="1" x14ac:dyDescent="0.25">
      <c r="A40" s="35" t="s">
        <v>71</v>
      </c>
      <c r="B40" s="35" t="s">
        <v>72</v>
      </c>
      <c r="C40" s="36">
        <v>42</v>
      </c>
      <c r="D40" s="37">
        <v>1</v>
      </c>
      <c r="E40" s="38">
        <v>420000</v>
      </c>
      <c r="F40" s="39">
        <v>0.66700000000000004</v>
      </c>
      <c r="G40" s="40" t="s">
        <v>73</v>
      </c>
      <c r="H40" s="13"/>
      <c r="I40" s="13"/>
      <c r="J40" s="13"/>
      <c r="K40" s="13"/>
      <c r="L40" s="13"/>
      <c r="M40" s="13"/>
    </row>
    <row r="41" spans="1:13" ht="19.5" customHeight="1" x14ac:dyDescent="0.25">
      <c r="A41" s="41" t="s">
        <v>74</v>
      </c>
      <c r="B41" s="41" t="s">
        <v>75</v>
      </c>
      <c r="C41" s="42">
        <v>28</v>
      </c>
      <c r="D41" s="43">
        <v>0.66669999999999996</v>
      </c>
      <c r="E41" s="44">
        <v>280000</v>
      </c>
      <c r="F41" s="45">
        <v>1</v>
      </c>
      <c r="G41" s="46" t="s">
        <v>76</v>
      </c>
      <c r="H41" s="13"/>
      <c r="I41" s="13"/>
      <c r="J41" s="13"/>
      <c r="K41" s="13"/>
      <c r="L41" s="13"/>
      <c r="M41" s="13"/>
    </row>
    <row r="42" spans="1:13" ht="19.5" customHeight="1" x14ac:dyDescent="0.25">
      <c r="A42" s="41" t="s">
        <v>77</v>
      </c>
      <c r="B42" s="41" t="s">
        <v>78</v>
      </c>
      <c r="C42" s="42">
        <v>28</v>
      </c>
      <c r="D42" s="43">
        <v>0.66669999999999996</v>
      </c>
      <c r="E42" s="44">
        <v>280000</v>
      </c>
      <c r="F42" s="45">
        <v>1</v>
      </c>
      <c r="G42" s="46" t="s">
        <v>76</v>
      </c>
      <c r="H42" s="13"/>
      <c r="I42" s="13"/>
      <c r="J42" s="13"/>
      <c r="K42" s="13"/>
      <c r="L42" s="13"/>
      <c r="M42" s="13"/>
    </row>
    <row r="43" spans="1:13" ht="19.5" customHeight="1" x14ac:dyDescent="0.25">
      <c r="A43" s="35" t="s">
        <v>79</v>
      </c>
      <c r="B43" s="35" t="s">
        <v>80</v>
      </c>
      <c r="C43" s="36">
        <v>35</v>
      </c>
      <c r="D43" s="37">
        <v>0.83330000000000004</v>
      </c>
      <c r="E43" s="38">
        <v>350000</v>
      </c>
      <c r="F43" s="39">
        <v>0.8</v>
      </c>
      <c r="G43" s="40" t="s">
        <v>81</v>
      </c>
      <c r="H43" s="13"/>
      <c r="I43" s="13"/>
      <c r="J43" s="13"/>
      <c r="K43" s="13"/>
      <c r="L43" s="13"/>
      <c r="M43" s="13"/>
    </row>
    <row r="44" spans="1:13" ht="1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ht="7.5" customHeight="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</row>
    <row r="46" spans="1:13" ht="18" customHeight="1" x14ac:dyDescent="0.25">
      <c r="A46" s="10" t="s">
        <v>82</v>
      </c>
      <c r="B46" s="17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3"/>
    </row>
    <row r="47" spans="1:13" ht="3.75" customHeight="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</row>
    <row r="48" spans="1:13" ht="6" customHeight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ht="25.5" customHeight="1" x14ac:dyDescent="0.25">
      <c r="A49" s="9" t="s">
        <v>83</v>
      </c>
      <c r="B49" s="9"/>
      <c r="C49" s="47" t="s">
        <v>84</v>
      </c>
      <c r="D49" s="8" t="s">
        <v>85</v>
      </c>
      <c r="E49" s="8"/>
      <c r="F49" s="8"/>
      <c r="G49" s="8"/>
      <c r="H49" s="8"/>
      <c r="I49" s="8"/>
      <c r="J49" s="8"/>
      <c r="K49" s="13"/>
      <c r="L49" s="13"/>
      <c r="M49" s="13"/>
    </row>
    <row r="50" spans="1:13" ht="13.5" customHeight="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 ht="6" customHeight="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</row>
    <row r="52" spans="1:13" ht="25.5" customHeight="1" x14ac:dyDescent="0.25">
      <c r="A52" s="7" t="s">
        <v>86</v>
      </c>
      <c r="B52" s="7"/>
      <c r="C52" s="48" t="s">
        <v>87</v>
      </c>
      <c r="D52" s="6" t="s">
        <v>88</v>
      </c>
      <c r="E52" s="6"/>
      <c r="F52" s="6"/>
      <c r="G52" s="6"/>
      <c r="H52" s="6"/>
      <c r="I52" s="6"/>
      <c r="J52" s="6"/>
      <c r="K52" s="13"/>
      <c r="L52" s="13"/>
      <c r="M52" s="13"/>
    </row>
    <row r="53" spans="1:13" ht="13.5" customHeight="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ht="6" customHeigh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  <row r="55" spans="1:13" ht="25.5" customHeight="1" x14ac:dyDescent="0.25">
      <c r="A55" s="5" t="s">
        <v>89</v>
      </c>
      <c r="B55" s="5"/>
      <c r="C55" s="49" t="s">
        <v>90</v>
      </c>
      <c r="D55" s="4" t="s">
        <v>91</v>
      </c>
      <c r="E55" s="4"/>
      <c r="F55" s="4"/>
      <c r="G55" s="4"/>
      <c r="H55" s="4"/>
      <c r="I55" s="4"/>
      <c r="J55" s="4"/>
      <c r="K55" s="13"/>
      <c r="L55" s="13"/>
      <c r="M55" s="13"/>
    </row>
    <row r="56" spans="1:13" ht="13.5" customHeight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</row>
    <row r="57" spans="1:13" ht="15" customHeight="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</row>
    <row r="58" spans="1:13" ht="15" customHeight="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</row>
    <row r="59" spans="1:13" ht="15" customHeight="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</row>
    <row r="60" spans="1:13" ht="15" customHeight="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</row>
    <row r="61" spans="1:13" ht="15" customHeight="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</row>
    <row r="62" spans="1:13" ht="15" customHeigh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</row>
    <row r="63" spans="1:13" ht="15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</row>
    <row r="64" spans="1:13" ht="15" customHeigh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</row>
    <row r="65" spans="1:13" ht="15" customHeight="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</row>
    <row r="66" spans="1:13" ht="15" customHeigh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</row>
    <row r="67" spans="1:13" ht="15" customHeight="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</row>
    <row r="68" spans="1:13" ht="15" customHeight="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</row>
    <row r="69" spans="1:13" ht="15" customHeight="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</row>
    <row r="70" spans="1:13" ht="15" customHeight="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</row>
    <row r="71" spans="1:13" ht="1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</row>
    <row r="72" spans="1:13" ht="15" customHeigh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</row>
    <row r="73" spans="1:13" ht="1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</row>
    <row r="74" spans="1:13" ht="15" customHeight="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</row>
    <row r="75" spans="1:13" ht="15" customHeight="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</row>
    <row r="76" spans="1:13" ht="15" customHeigh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</row>
    <row r="77" spans="1:13" ht="15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</row>
    <row r="78" spans="1:13" ht="15" customHeigh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</row>
    <row r="79" spans="1:13" ht="15" customHeigh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</row>
  </sheetData>
  <mergeCells count="12">
    <mergeCell ref="A55:B55"/>
    <mergeCell ref="D55:J55"/>
    <mergeCell ref="A24:G24"/>
    <mergeCell ref="A4:G4"/>
    <mergeCell ref="A8:G8"/>
    <mergeCell ref="A36:L36"/>
    <mergeCell ref="A46:L46"/>
    <mergeCell ref="A49:B49"/>
    <mergeCell ref="D49:J49"/>
    <mergeCell ref="A52:B52"/>
    <mergeCell ref="D52:J52"/>
    <mergeCell ref="A1:G3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D8A52"/>
  </sheetPr>
  <dimension ref="A1:O49"/>
  <sheetViews>
    <sheetView showGridLines="0" tabSelected="1" zoomScaleNormal="100" workbookViewId="0">
      <pane ySplit="5" topLeftCell="A18" activePane="bottomLeft" state="frozen"/>
      <selection pane="bottomLeft" activeCell="D23" sqref="D23"/>
    </sheetView>
  </sheetViews>
  <sheetFormatPr defaultColWidth="8.7109375" defaultRowHeight="15" x14ac:dyDescent="0.25"/>
  <cols>
    <col min="1" max="1" width="5" customWidth="1"/>
    <col min="2" max="2" width="24" customWidth="1"/>
    <col min="3" max="3" width="8" customWidth="1"/>
    <col min="4" max="4" width="6" customWidth="1"/>
    <col min="5" max="8" width="14" customWidth="1"/>
    <col min="9" max="9" width="10" customWidth="1"/>
    <col min="10" max="10" width="22" customWidth="1"/>
    <col min="11" max="11" width="58.7109375" customWidth="1"/>
  </cols>
  <sheetData>
    <row r="1" spans="1:15" ht="19.5" customHeight="1" x14ac:dyDescent="0.25">
      <c r="A1" s="3" t="s">
        <v>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13"/>
    </row>
    <row r="2" spans="1:15" ht="19.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13"/>
    </row>
    <row r="3" spans="1:15" ht="21.75" customHeight="1" x14ac:dyDescent="0.25">
      <c r="A3" s="12" t="s">
        <v>93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3"/>
    </row>
    <row r="4" spans="1:15" ht="3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3"/>
    </row>
    <row r="5" spans="1:15" ht="15.75" customHeight="1" x14ac:dyDescent="0.25">
      <c r="A5" s="14" t="s">
        <v>94</v>
      </c>
      <c r="B5" s="14" t="s">
        <v>95</v>
      </c>
      <c r="C5" s="14" t="s">
        <v>96</v>
      </c>
      <c r="D5" s="14" t="s">
        <v>97</v>
      </c>
      <c r="E5" s="14" t="s">
        <v>98</v>
      </c>
      <c r="F5" s="14" t="s">
        <v>99</v>
      </c>
      <c r="G5" s="14" t="s">
        <v>100</v>
      </c>
      <c r="H5" s="14" t="s">
        <v>101</v>
      </c>
      <c r="I5" s="14" t="s">
        <v>102</v>
      </c>
      <c r="J5" s="14" t="s">
        <v>103</v>
      </c>
      <c r="K5" s="14" t="s">
        <v>104</v>
      </c>
      <c r="L5" s="13"/>
      <c r="M5" s="13"/>
      <c r="N5" s="13"/>
      <c r="O5" s="13"/>
    </row>
    <row r="6" spans="1:15" ht="21.75" customHeight="1" x14ac:dyDescent="0.25">
      <c r="A6" s="2" t="s">
        <v>105</v>
      </c>
      <c r="B6" s="2"/>
      <c r="C6" s="2"/>
      <c r="D6" s="2"/>
      <c r="E6" s="2"/>
      <c r="F6" s="2"/>
      <c r="G6" s="2"/>
      <c r="H6" s="2"/>
      <c r="I6" s="2"/>
      <c r="J6" s="2"/>
      <c r="K6" s="2"/>
      <c r="L6" s="13"/>
      <c r="M6" s="13"/>
      <c r="N6" s="13"/>
      <c r="O6" s="13"/>
    </row>
    <row r="7" spans="1:15" ht="19.5" customHeight="1" x14ac:dyDescent="0.25">
      <c r="A7" s="50" t="s">
        <v>106</v>
      </c>
      <c r="B7" s="51" t="s">
        <v>107</v>
      </c>
      <c r="C7" s="50" t="s">
        <v>108</v>
      </c>
      <c r="D7" s="50" t="s">
        <v>109</v>
      </c>
      <c r="E7" s="50" t="str">
        <f>TEXT('⚡ Inputs'!C17-1,"yyyy-mm-dd")</f>
        <v>2025-12-31</v>
      </c>
      <c r="F7" s="50" t="str">
        <f>TEXT('⚡ Inputs'!C17,"yyyy-mm-dd")</f>
        <v>2026-01-01</v>
      </c>
      <c r="G7" s="50" t="str">
        <f>TEXT('⚡ Inputs'!C18,"yyyy-mm-dd")</f>
        <v>2027-01-01</v>
      </c>
      <c r="H7" s="52">
        <f>'⚡ Inputs'!C16</f>
        <v>100000</v>
      </c>
      <c r="I7" s="53">
        <f>'⚡ Inputs'!C21</f>
        <v>0.09</v>
      </c>
      <c r="J7" s="50" t="s">
        <v>110</v>
      </c>
      <c r="K7" s="54" t="str">
        <f>"USD "&amp;TEXT('⚡ Inputs'!C16/1000,"#,##0")&amp;"k loan — NO hedge — full exposure to carbon price fall"</f>
        <v>USD 100k loan — NO hedge — full exposure to carbon price fall</v>
      </c>
      <c r="L7" s="13"/>
      <c r="M7" s="13"/>
      <c r="N7" s="13"/>
      <c r="O7" s="13"/>
    </row>
    <row r="8" spans="1:15" ht="6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ht="21.75" customHeight="1" x14ac:dyDescent="0.25">
      <c r="A9" s="1" t="s">
        <v>111</v>
      </c>
      <c r="B9" s="1"/>
      <c r="C9" s="1"/>
      <c r="D9" s="1"/>
      <c r="E9" s="1"/>
      <c r="F9" s="1"/>
      <c r="G9" s="1"/>
      <c r="H9" s="1"/>
      <c r="I9" s="1"/>
      <c r="J9" s="1"/>
      <c r="K9" s="1"/>
      <c r="L9" s="13"/>
      <c r="M9" s="13"/>
      <c r="N9" s="13"/>
      <c r="O9" s="13"/>
    </row>
    <row r="10" spans="1:15" ht="19.5" customHeight="1" x14ac:dyDescent="0.25">
      <c r="A10" s="55" t="s">
        <v>112</v>
      </c>
      <c r="B10" s="56" t="s">
        <v>113</v>
      </c>
      <c r="C10" s="55" t="s">
        <v>108</v>
      </c>
      <c r="D10" s="55" t="s">
        <v>109</v>
      </c>
      <c r="E10" s="55" t="str">
        <f>TEXT('⚡ Inputs'!C17-1,"yyyy-mm-dd")</f>
        <v>2025-12-31</v>
      </c>
      <c r="F10" s="55" t="str">
        <f>TEXT('⚡ Inputs'!C17,"yyyy-mm-dd")</f>
        <v>2026-01-01</v>
      </c>
      <c r="G10" s="55" t="str">
        <f>TEXT('⚡ Inputs'!C18,"yyyy-mm-dd")</f>
        <v>2027-01-01</v>
      </c>
      <c r="H10" s="57">
        <f>'⚡ Inputs'!C16</f>
        <v>100000</v>
      </c>
      <c r="I10" s="58">
        <f>'⚡ Inputs'!C21</f>
        <v>0.09</v>
      </c>
      <c r="J10" s="55" t="s">
        <v>110</v>
      </c>
      <c r="K10" s="59" t="s">
        <v>114</v>
      </c>
      <c r="L10" s="13"/>
      <c r="M10" s="13"/>
      <c r="N10" s="13"/>
      <c r="O10" s="13"/>
    </row>
    <row r="11" spans="1:15" ht="19.5" customHeight="1" x14ac:dyDescent="0.25">
      <c r="A11" s="50" t="s">
        <v>112</v>
      </c>
      <c r="B11" s="56" t="s">
        <v>115</v>
      </c>
      <c r="C11" s="50" t="s">
        <v>116</v>
      </c>
      <c r="D11" s="50" t="s">
        <v>117</v>
      </c>
      <c r="E11" s="50" t="str">
        <f>TEXT('⚡ Inputs'!C17-1,"yyyy-mm-dd")</f>
        <v>2025-12-31</v>
      </c>
      <c r="F11" s="50" t="str">
        <f>TEXT('⚡ Inputs'!C17,"yyyy-mm-dd")</f>
        <v>2026-01-01</v>
      </c>
      <c r="G11" s="50" t="str">
        <f>TEXT('⚡ Inputs'!C18,"yyyy-mm-dd")</f>
        <v>2027-01-01</v>
      </c>
      <c r="H11" s="52">
        <f>'⚡ Inputs'!C19*'⚡ Inputs'!C12</f>
        <v>380000</v>
      </c>
      <c r="I11" s="50" t="s">
        <v>118</v>
      </c>
      <c r="J11" s="50" t="s">
        <v>118</v>
      </c>
      <c r="K11" s="54" t="s">
        <v>119</v>
      </c>
      <c r="L11" s="13"/>
      <c r="M11" s="13"/>
      <c r="N11" s="13"/>
      <c r="O11" s="13"/>
    </row>
    <row r="12" spans="1:15" ht="19.5" customHeight="1" x14ac:dyDescent="0.25">
      <c r="A12" s="55" t="s">
        <v>112</v>
      </c>
      <c r="B12" s="56" t="s">
        <v>120</v>
      </c>
      <c r="C12" s="55" t="s">
        <v>108</v>
      </c>
      <c r="D12" s="55" t="s">
        <v>121</v>
      </c>
      <c r="E12" s="55" t="str">
        <f>TEXT('⚡ Inputs'!C17-1,"yyyy-mm-dd")</f>
        <v>2025-12-31</v>
      </c>
      <c r="F12" s="55" t="str">
        <f>TEXT('⚡ Inputs'!C17,"yyyy-mm-dd")</f>
        <v>2026-01-01</v>
      </c>
      <c r="G12" s="55" t="str">
        <f>TEXT('⚡ Inputs'!C18,"yyyy-mm-dd")</f>
        <v>2027-01-01</v>
      </c>
      <c r="H12" s="57">
        <f>'⚡ Inputs'!C19*'⚡ Inputs'!C12</f>
        <v>380000</v>
      </c>
      <c r="I12" s="58">
        <f>ROUND('⚡ Inputs'!C19/'⚡ Inputs'!C13,4)</f>
        <v>0.69089999999999996</v>
      </c>
      <c r="J12" s="55" t="s">
        <v>118</v>
      </c>
      <c r="K12" s="59" t="str">
        <f>"Fixed leg: John pays $"&amp;'⚡ Inputs'!C19&amp;"/credit (rate="&amp;TEXT(ROUND('⚡ Inputs'!C19/'⚡ Inputs'!C13,4),"0.0000")&amp;")"</f>
        <v>Fixed leg: John pays $38/credit (rate=0.6909)</v>
      </c>
      <c r="L12" s="13"/>
      <c r="M12" s="13"/>
      <c r="N12" s="13"/>
      <c r="O12" s="13"/>
    </row>
    <row r="13" spans="1:15" ht="19.5" customHeight="1" x14ac:dyDescent="0.25">
      <c r="A13" s="50" t="s">
        <v>112</v>
      </c>
      <c r="B13" s="56" t="s">
        <v>122</v>
      </c>
      <c r="C13" s="50" t="s">
        <v>108</v>
      </c>
      <c r="D13" s="50" t="s">
        <v>123</v>
      </c>
      <c r="E13" s="50" t="str">
        <f>TEXT('⚡ Inputs'!C17-1,"yyyy-mm-dd")</f>
        <v>2025-12-31</v>
      </c>
      <c r="F13" s="50" t="str">
        <f>TEXT('⚡ Inputs'!C17,"yyyy-mm-dd")</f>
        <v>2026-01-01</v>
      </c>
      <c r="G13" s="50" t="str">
        <f>TEXT('⚡ Inputs'!C18,"yyyy-mm-dd")</f>
        <v>2027-01-01</v>
      </c>
      <c r="H13" s="52">
        <f>'⚡ Inputs'!C19*'⚡ Inputs'!C12</f>
        <v>380000</v>
      </c>
      <c r="I13" s="58">
        <v>1</v>
      </c>
      <c r="J13" s="50" t="s">
        <v>110</v>
      </c>
      <c r="K13" s="54" t="s">
        <v>124</v>
      </c>
      <c r="L13" s="13"/>
      <c r="M13" s="13"/>
      <c r="N13" s="13"/>
      <c r="O13" s="13"/>
    </row>
    <row r="14" spans="1:15" ht="6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ht="21.75" customHeight="1" x14ac:dyDescent="0.25">
      <c r="A15" s="88" t="s">
        <v>125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13"/>
      <c r="M15" s="13"/>
      <c r="N15" s="13"/>
      <c r="O15" s="13"/>
    </row>
    <row r="16" spans="1:15" ht="19.5" customHeight="1" x14ac:dyDescent="0.25">
      <c r="A16" s="55" t="s">
        <v>126</v>
      </c>
      <c r="B16" s="60" t="s">
        <v>127</v>
      </c>
      <c r="C16" s="55" t="s">
        <v>108</v>
      </c>
      <c r="D16" s="55" t="s">
        <v>109</v>
      </c>
      <c r="E16" s="55" t="str">
        <f>TEXT('⚡ Inputs'!C17-1,"yyyy-mm-dd")</f>
        <v>2025-12-31</v>
      </c>
      <c r="F16" s="55" t="str">
        <f>TEXT('⚡ Inputs'!C17,"yyyy-mm-dd")</f>
        <v>2026-01-01</v>
      </c>
      <c r="G16" s="55" t="str">
        <f>TEXT('⚡ Inputs'!C18,"yyyy-mm-dd")</f>
        <v>2027-01-01</v>
      </c>
      <c r="H16" s="57">
        <f>'⚡ Inputs'!C16</f>
        <v>100000</v>
      </c>
      <c r="I16" s="61">
        <f>'⚡ Inputs'!C21</f>
        <v>0.09</v>
      </c>
      <c r="J16" s="55" t="s">
        <v>110</v>
      </c>
      <c r="K16" s="59" t="s">
        <v>128</v>
      </c>
      <c r="L16" s="13"/>
      <c r="M16" s="13"/>
      <c r="N16" s="13"/>
      <c r="O16" s="13"/>
    </row>
    <row r="17" spans="1:15" ht="19.5" customHeight="1" x14ac:dyDescent="0.25">
      <c r="A17" s="50" t="s">
        <v>126</v>
      </c>
      <c r="B17" s="60" t="s">
        <v>129</v>
      </c>
      <c r="C17" s="50" t="s">
        <v>116</v>
      </c>
      <c r="D17" s="50" t="s">
        <v>117</v>
      </c>
      <c r="E17" s="50" t="str">
        <f>TEXT('⚡ Inputs'!C17-1,"yyyy-mm-dd")</f>
        <v>2025-12-31</v>
      </c>
      <c r="F17" s="50" t="str">
        <f>TEXT('⚡ Inputs'!C17,"yyyy-mm-dd")</f>
        <v>2026-01-01</v>
      </c>
      <c r="G17" s="50" t="str">
        <f>TEXT('⚡ Inputs'!C18,"yyyy-mm-dd")</f>
        <v>2027-01-01</v>
      </c>
      <c r="H17" s="52">
        <f>'⚡ Inputs'!C19*'⚡ Inputs'!C12</f>
        <v>380000</v>
      </c>
      <c r="I17" s="50" t="s">
        <v>118</v>
      </c>
      <c r="J17" s="50" t="s">
        <v>118</v>
      </c>
      <c r="K17" s="54" t="s">
        <v>130</v>
      </c>
      <c r="L17" s="13"/>
      <c r="M17" s="13"/>
      <c r="N17" s="13"/>
      <c r="O17" s="13"/>
    </row>
    <row r="18" spans="1:15" ht="19.5" customHeight="1" x14ac:dyDescent="0.25">
      <c r="A18" s="55" t="s">
        <v>126</v>
      </c>
      <c r="B18" s="60" t="s">
        <v>131</v>
      </c>
      <c r="C18" s="55" t="s">
        <v>108</v>
      </c>
      <c r="D18" s="55" t="s">
        <v>121</v>
      </c>
      <c r="E18" s="55" t="str">
        <f>TEXT('⚡ Inputs'!C17-1,"yyyy-mm-dd")</f>
        <v>2025-12-31</v>
      </c>
      <c r="F18" s="55" t="str">
        <f>TEXT('⚡ Inputs'!C17,"yyyy-mm-dd")</f>
        <v>2026-01-01</v>
      </c>
      <c r="G18" s="55" t="str">
        <f>TEXT('⚡ Inputs'!C18,"yyyy-mm-dd")</f>
        <v>2027-01-01</v>
      </c>
      <c r="H18" s="57">
        <f>'⚡ Inputs'!C19*'⚡ Inputs'!C12</f>
        <v>380000</v>
      </c>
      <c r="I18" s="61">
        <f>ROUND('⚡ Inputs'!C19/'⚡ Inputs'!C13,4)</f>
        <v>0.69089999999999996</v>
      </c>
      <c r="J18" s="55" t="s">
        <v>118</v>
      </c>
      <c r="K18" s="59" t="str">
        <f>"Fixed leg: John pays $"&amp;'⚡ Inputs'!C19&amp;"/credit locked rate"</f>
        <v>Fixed leg: John pays $38/credit locked rate</v>
      </c>
      <c r="L18" s="13"/>
      <c r="M18" s="13"/>
      <c r="N18" s="13"/>
      <c r="O18" s="13"/>
    </row>
    <row r="19" spans="1:15" ht="19.5" customHeight="1" x14ac:dyDescent="0.25">
      <c r="A19" s="50" t="s">
        <v>126</v>
      </c>
      <c r="B19" s="60" t="s">
        <v>132</v>
      </c>
      <c r="C19" s="50" t="s">
        <v>108</v>
      </c>
      <c r="D19" s="50" t="s">
        <v>123</v>
      </c>
      <c r="E19" s="50" t="str">
        <f>TEXT('⚡ Inputs'!C17-1,"yyyy-mm-dd")</f>
        <v>2025-12-31</v>
      </c>
      <c r="F19" s="50" t="str">
        <f>TEXT('⚡ Inputs'!C17,"yyyy-mm-dd")</f>
        <v>2026-01-01</v>
      </c>
      <c r="G19" s="50" t="str">
        <f>TEXT('⚡ Inputs'!C18,"yyyy-mm-dd")</f>
        <v>2027-01-01</v>
      </c>
      <c r="H19" s="52">
        <f>'⚡ Inputs'!C19*'⚡ Inputs'!C12</f>
        <v>380000</v>
      </c>
      <c r="I19" s="61">
        <v>1</v>
      </c>
      <c r="J19" s="50" t="s">
        <v>110</v>
      </c>
      <c r="K19" s="54" t="s">
        <v>133</v>
      </c>
      <c r="L19" s="13"/>
      <c r="M19" s="13"/>
      <c r="N19" s="13"/>
      <c r="O19" s="13"/>
    </row>
    <row r="20" spans="1:15" ht="19.5" customHeight="1" x14ac:dyDescent="0.25">
      <c r="A20" s="55" t="s">
        <v>126</v>
      </c>
      <c r="B20" s="60" t="s">
        <v>134</v>
      </c>
      <c r="C20" s="55" t="s">
        <v>108</v>
      </c>
      <c r="D20" s="55" t="s">
        <v>135</v>
      </c>
      <c r="E20" s="55" t="str">
        <f>TEXT('⚡ Inputs'!C17-1,"yyyy-mm-dd")</f>
        <v>2025-12-31</v>
      </c>
      <c r="F20" s="55" t="str">
        <f>TEXT('⚡ Inputs'!C17,"yyyy-mm-dd")</f>
        <v>2026-01-01</v>
      </c>
      <c r="G20" s="55" t="str">
        <f>TEXT('⚡ Inputs'!C18,"yyyy-mm-dd")</f>
        <v>2027-01-01</v>
      </c>
      <c r="H20" s="57">
        <f>'⚡ Inputs'!C13*'⚡ Inputs'!C12</f>
        <v>550000</v>
      </c>
      <c r="I20" s="61">
        <f>'⚡ Inputs'!C20</f>
        <v>0.02</v>
      </c>
      <c r="J20" s="55" t="s">
        <v>136</v>
      </c>
      <c r="K20" s="59" t="s">
        <v>137</v>
      </c>
      <c r="L20" s="13"/>
      <c r="M20" s="13"/>
      <c r="N20" s="13"/>
      <c r="O20" s="13"/>
    </row>
    <row r="21" spans="1:15" ht="31.5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ht="15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ht="15" customHeight="1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ht="15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ht="1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ht="1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ht="1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ht="1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ht="1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ht="1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ht="1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ht="15" customHeight="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ht="1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ht="1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ht="1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ht="1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ht="15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ht="15" customHeight="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ht="15" customHeight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ht="15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  <row r="43" spans="1:15" ht="1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</row>
    <row r="44" spans="1:15" ht="1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</row>
    <row r="45" spans="1:15" ht="15" customHeight="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1:15" ht="15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1:15" ht="15" customHeight="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1:15" ht="15" customHeight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</row>
    <row r="49" spans="1:15" ht="15" customHeight="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</row>
  </sheetData>
  <mergeCells count="6">
    <mergeCell ref="A15:K15"/>
    <mergeCell ref="A1:N2"/>
    <mergeCell ref="A3:N3"/>
    <mergeCell ref="A4:N4"/>
    <mergeCell ref="A6:K6"/>
    <mergeCell ref="A9:K9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endToACTUS">
                <anchor moveWithCells="1" sizeWithCells="1">
                  <from>
                    <xdr:col>0</xdr:col>
                    <xdr:colOff>57150</xdr:colOff>
                    <xdr:row>19</xdr:row>
                    <xdr:rowOff>85725</xdr:rowOff>
                  </from>
                  <to>
                    <xdr:col>4</xdr:col>
                    <xdr:colOff>371475</xdr:colOff>
                    <xdr:row>20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E67E00"/>
  </sheetPr>
  <dimension ref="A1:J70"/>
  <sheetViews>
    <sheetView showGridLines="0" zoomScale="85" zoomScaleNormal="85" workbookViewId="0">
      <pane ySplit="5" topLeftCell="A6" activePane="bottomLeft" state="frozen"/>
      <selection pane="bottomLeft" activeCell="B38" sqref="B38"/>
    </sheetView>
  </sheetViews>
  <sheetFormatPr defaultColWidth="8.7109375" defaultRowHeight="15" x14ac:dyDescent="0.25"/>
  <cols>
    <col min="1" max="1" width="16.85546875" bestFit="1" customWidth="1"/>
    <col min="2" max="2" width="16.140625" bestFit="1" customWidth="1"/>
    <col min="3" max="3" width="12.5703125" bestFit="1" customWidth="1"/>
    <col min="4" max="4" width="17.7109375" bestFit="1" customWidth="1"/>
    <col min="5" max="5" width="9.7109375" bestFit="1" customWidth="1"/>
    <col min="6" max="6" width="11.140625" bestFit="1" customWidth="1"/>
    <col min="7" max="7" width="16.140625" bestFit="1" customWidth="1"/>
    <col min="8" max="8" width="14.85546875" bestFit="1" customWidth="1"/>
    <col min="9" max="9" width="14" customWidth="1"/>
    <col min="10" max="10" width="22" customWidth="1"/>
  </cols>
  <sheetData>
    <row r="1" spans="1:10" ht="19.5" customHeight="1" x14ac:dyDescent="0.35">
      <c r="A1" s="179" t="s">
        <v>138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10" ht="18" customHeight="1" x14ac:dyDescent="0.25">
      <c r="A2" s="124"/>
      <c r="B2" s="124"/>
      <c r="C2" s="124"/>
      <c r="D2" s="124"/>
      <c r="E2" s="124"/>
      <c r="F2" s="124"/>
      <c r="G2" s="124"/>
      <c r="H2" s="124"/>
      <c r="I2" s="124"/>
      <c r="J2" s="124"/>
    </row>
    <row r="3" spans="1:10" ht="19.5" customHeight="1" x14ac:dyDescent="0.25">
      <c r="A3" s="180" t="s">
        <v>269</v>
      </c>
      <c r="B3" s="178"/>
      <c r="C3" s="178"/>
      <c r="D3" s="178"/>
      <c r="E3" s="178"/>
      <c r="F3" s="178"/>
      <c r="G3" s="178"/>
      <c r="H3" s="178"/>
      <c r="I3" s="178"/>
      <c r="J3" s="178"/>
    </row>
    <row r="4" spans="1:10" ht="7.5" customHeight="1" x14ac:dyDescent="0.25">
      <c r="A4" s="142"/>
      <c r="B4" s="142"/>
      <c r="C4" s="142"/>
      <c r="D4" s="142"/>
      <c r="E4" s="142"/>
      <c r="F4" s="142"/>
      <c r="G4" s="142"/>
      <c r="H4" s="142"/>
      <c r="I4" s="142"/>
      <c r="J4" s="142"/>
    </row>
    <row r="5" spans="1:10" ht="15.75" customHeight="1" thickBot="1" x14ac:dyDescent="0.3">
      <c r="A5" s="181" t="s">
        <v>139</v>
      </c>
      <c r="B5" s="181" t="s">
        <v>95</v>
      </c>
      <c r="C5" s="181" t="s">
        <v>140</v>
      </c>
      <c r="D5" s="181" t="s">
        <v>62</v>
      </c>
      <c r="E5" s="181" t="s">
        <v>141</v>
      </c>
      <c r="F5" s="181" t="s">
        <v>142</v>
      </c>
      <c r="G5" s="181" t="s">
        <v>143</v>
      </c>
      <c r="H5" s="181" t="s">
        <v>144</v>
      </c>
    </row>
    <row r="8" spans="1:10" x14ac:dyDescent="0.25">
      <c r="A8" s="125" t="s">
        <v>224</v>
      </c>
      <c r="B8" t="s">
        <v>244</v>
      </c>
      <c r="C8" t="s">
        <v>245</v>
      </c>
      <c r="D8" t="s">
        <v>246</v>
      </c>
      <c r="E8" t="s">
        <v>247</v>
      </c>
      <c r="F8" t="s">
        <v>248</v>
      </c>
      <c r="G8" t="s">
        <v>249</v>
      </c>
    </row>
    <row r="9" spans="1:10" x14ac:dyDescent="0.25">
      <c r="A9" s="125" t="s">
        <v>146</v>
      </c>
      <c r="B9" t="s">
        <v>147</v>
      </c>
      <c r="C9" t="s">
        <v>250</v>
      </c>
      <c r="D9">
        <v>-100000</v>
      </c>
      <c r="E9" t="s">
        <v>27</v>
      </c>
      <c r="F9">
        <v>100000</v>
      </c>
      <c r="G9">
        <v>0.09</v>
      </c>
    </row>
    <row r="10" spans="1:10" x14ac:dyDescent="0.25">
      <c r="A10" s="125" t="s">
        <v>146</v>
      </c>
      <c r="B10" t="s">
        <v>148</v>
      </c>
      <c r="C10" t="s">
        <v>251</v>
      </c>
      <c r="D10">
        <v>2250</v>
      </c>
      <c r="E10" t="s">
        <v>27</v>
      </c>
      <c r="F10">
        <v>100000</v>
      </c>
      <c r="G10">
        <v>0.09</v>
      </c>
    </row>
    <row r="11" spans="1:10" x14ac:dyDescent="0.25">
      <c r="A11" s="125" t="s">
        <v>146</v>
      </c>
      <c r="B11" t="s">
        <v>148</v>
      </c>
      <c r="C11" t="s">
        <v>252</v>
      </c>
      <c r="D11">
        <v>2250</v>
      </c>
      <c r="E11" t="s">
        <v>27</v>
      </c>
      <c r="F11">
        <v>100000</v>
      </c>
      <c r="G11">
        <v>0.09</v>
      </c>
    </row>
    <row r="12" spans="1:10" x14ac:dyDescent="0.25">
      <c r="A12" s="125" t="s">
        <v>146</v>
      </c>
      <c r="B12" t="s">
        <v>148</v>
      </c>
      <c r="C12" t="s">
        <v>253</v>
      </c>
      <c r="D12">
        <v>2250</v>
      </c>
      <c r="E12" t="s">
        <v>27</v>
      </c>
      <c r="F12">
        <v>100000</v>
      </c>
      <c r="G12">
        <v>0.09</v>
      </c>
    </row>
    <row r="13" spans="1:10" x14ac:dyDescent="0.25">
      <c r="A13" s="125" t="s">
        <v>146</v>
      </c>
      <c r="B13" t="s">
        <v>148</v>
      </c>
      <c r="C13" t="s">
        <v>254</v>
      </c>
      <c r="D13">
        <v>2250</v>
      </c>
      <c r="E13" t="s">
        <v>27</v>
      </c>
      <c r="F13">
        <v>100000</v>
      </c>
      <c r="G13">
        <v>0.09</v>
      </c>
    </row>
    <row r="14" spans="1:10" x14ac:dyDescent="0.25">
      <c r="A14" s="125" t="s">
        <v>146</v>
      </c>
      <c r="B14" t="s">
        <v>149</v>
      </c>
      <c r="C14" t="s">
        <v>254</v>
      </c>
      <c r="D14">
        <v>100000</v>
      </c>
      <c r="E14" t="s">
        <v>27</v>
      </c>
      <c r="F14">
        <v>0</v>
      </c>
      <c r="G14">
        <v>0.09</v>
      </c>
    </row>
    <row r="15" spans="1:10" ht="21.75" customHeight="1" x14ac:dyDescent="0.25"/>
    <row r="17" spans="1:8" x14ac:dyDescent="0.25">
      <c r="A17" s="125" t="s">
        <v>224</v>
      </c>
      <c r="B17" t="s">
        <v>255</v>
      </c>
      <c r="C17" t="s">
        <v>244</v>
      </c>
      <c r="D17" t="s">
        <v>245</v>
      </c>
      <c r="E17" t="s">
        <v>246</v>
      </c>
      <c r="F17" t="s">
        <v>247</v>
      </c>
      <c r="G17" t="s">
        <v>248</v>
      </c>
      <c r="H17" t="s">
        <v>249</v>
      </c>
    </row>
    <row r="18" spans="1:8" x14ac:dyDescent="0.25">
      <c r="A18" s="125" t="s">
        <v>150</v>
      </c>
      <c r="B18" t="s">
        <v>113</v>
      </c>
      <c r="C18" t="s">
        <v>147</v>
      </c>
      <c r="D18" t="s">
        <v>250</v>
      </c>
      <c r="E18">
        <v>-100000</v>
      </c>
      <c r="F18" t="s">
        <v>27</v>
      </c>
      <c r="G18">
        <v>100000</v>
      </c>
      <c r="H18">
        <v>0.09</v>
      </c>
    </row>
    <row r="19" spans="1:8" x14ac:dyDescent="0.25">
      <c r="A19" s="125" t="s">
        <v>150</v>
      </c>
      <c r="B19" t="s">
        <v>113</v>
      </c>
      <c r="C19" t="s">
        <v>148</v>
      </c>
      <c r="D19" t="s">
        <v>251</v>
      </c>
      <c r="E19">
        <v>2250</v>
      </c>
      <c r="F19" t="s">
        <v>27</v>
      </c>
      <c r="G19">
        <v>100000</v>
      </c>
      <c r="H19">
        <v>0.09</v>
      </c>
    </row>
    <row r="20" spans="1:8" x14ac:dyDescent="0.25">
      <c r="A20" s="125" t="s">
        <v>150</v>
      </c>
      <c r="B20" t="s">
        <v>113</v>
      </c>
      <c r="C20" t="s">
        <v>148</v>
      </c>
      <c r="D20" t="s">
        <v>252</v>
      </c>
      <c r="E20">
        <v>2250</v>
      </c>
      <c r="F20" t="s">
        <v>27</v>
      </c>
      <c r="G20">
        <v>100000</v>
      </c>
      <c r="H20">
        <v>0.09</v>
      </c>
    </row>
    <row r="21" spans="1:8" x14ac:dyDescent="0.25">
      <c r="A21" s="125" t="s">
        <v>150</v>
      </c>
      <c r="B21" t="s">
        <v>113</v>
      </c>
      <c r="C21" t="s">
        <v>148</v>
      </c>
      <c r="D21" t="s">
        <v>253</v>
      </c>
      <c r="E21">
        <v>2250</v>
      </c>
      <c r="F21" t="s">
        <v>27</v>
      </c>
      <c r="G21">
        <v>100000</v>
      </c>
      <c r="H21">
        <v>0.09</v>
      </c>
    </row>
    <row r="22" spans="1:8" x14ac:dyDescent="0.25">
      <c r="A22" s="125" t="s">
        <v>150</v>
      </c>
      <c r="B22" t="s">
        <v>113</v>
      </c>
      <c r="C22" t="s">
        <v>148</v>
      </c>
      <c r="D22" t="s">
        <v>254</v>
      </c>
      <c r="E22">
        <v>2250</v>
      </c>
      <c r="F22" t="s">
        <v>27</v>
      </c>
      <c r="G22">
        <v>100000</v>
      </c>
      <c r="H22">
        <v>0.09</v>
      </c>
    </row>
    <row r="23" spans="1:8" x14ac:dyDescent="0.25">
      <c r="A23" s="125" t="s">
        <v>150</v>
      </c>
      <c r="B23" t="s">
        <v>113</v>
      </c>
      <c r="C23" t="s">
        <v>149</v>
      </c>
      <c r="D23" t="s">
        <v>254</v>
      </c>
      <c r="E23">
        <v>100000</v>
      </c>
      <c r="F23" t="s">
        <v>27</v>
      </c>
      <c r="G23">
        <v>0</v>
      </c>
      <c r="H23">
        <v>0.09</v>
      </c>
    </row>
    <row r="24" spans="1:8" x14ac:dyDescent="0.25">
      <c r="A24" s="125" t="s">
        <v>150</v>
      </c>
      <c r="B24" t="s">
        <v>115</v>
      </c>
      <c r="C24" t="s">
        <v>147</v>
      </c>
      <c r="D24" t="s">
        <v>250</v>
      </c>
      <c r="E24">
        <v>380000</v>
      </c>
      <c r="F24" t="s">
        <v>27</v>
      </c>
      <c r="G24">
        <v>-380000</v>
      </c>
      <c r="H24">
        <v>0.69089999999999996</v>
      </c>
    </row>
    <row r="25" spans="1:8" x14ac:dyDescent="0.25">
      <c r="A25" s="125" t="s">
        <v>150</v>
      </c>
      <c r="B25" t="s">
        <v>115</v>
      </c>
      <c r="C25" t="s">
        <v>147</v>
      </c>
      <c r="D25" t="s">
        <v>250</v>
      </c>
      <c r="E25">
        <v>-380000</v>
      </c>
      <c r="F25" t="s">
        <v>27</v>
      </c>
      <c r="G25">
        <v>380000</v>
      </c>
      <c r="H25">
        <v>1</v>
      </c>
    </row>
    <row r="26" spans="1:8" x14ac:dyDescent="0.25">
      <c r="A26" s="125" t="s">
        <v>150</v>
      </c>
      <c r="B26" t="s">
        <v>115</v>
      </c>
      <c r="C26" t="s">
        <v>256</v>
      </c>
      <c r="D26" t="s">
        <v>250</v>
      </c>
      <c r="E26">
        <v>0</v>
      </c>
      <c r="F26" t="s">
        <v>27</v>
      </c>
      <c r="G26">
        <v>380000</v>
      </c>
      <c r="H26">
        <v>1</v>
      </c>
    </row>
    <row r="27" spans="1:8" x14ac:dyDescent="0.25">
      <c r="A27" s="125" t="s">
        <v>150</v>
      </c>
      <c r="B27" t="s">
        <v>115</v>
      </c>
      <c r="C27" t="s">
        <v>148</v>
      </c>
      <c r="D27" t="s">
        <v>251</v>
      </c>
      <c r="E27">
        <v>-65635.5</v>
      </c>
      <c r="F27" t="s">
        <v>27</v>
      </c>
      <c r="G27">
        <v>-380000</v>
      </c>
      <c r="H27">
        <v>0.69089999999999996</v>
      </c>
    </row>
    <row r="28" spans="1:8" x14ac:dyDescent="0.25">
      <c r="A28" s="125" t="s">
        <v>150</v>
      </c>
      <c r="B28" t="s">
        <v>115</v>
      </c>
      <c r="C28" t="s">
        <v>148</v>
      </c>
      <c r="D28" t="s">
        <v>251</v>
      </c>
      <c r="E28">
        <v>95000</v>
      </c>
      <c r="F28" t="s">
        <v>27</v>
      </c>
      <c r="G28">
        <v>380000</v>
      </c>
      <c r="H28">
        <v>1</v>
      </c>
    </row>
    <row r="29" spans="1:8" x14ac:dyDescent="0.25">
      <c r="A29" s="125" t="s">
        <v>150</v>
      </c>
      <c r="B29" t="s">
        <v>115</v>
      </c>
      <c r="C29" t="s">
        <v>256</v>
      </c>
      <c r="D29" t="s">
        <v>251</v>
      </c>
      <c r="E29">
        <v>0</v>
      </c>
      <c r="F29" t="s">
        <v>27</v>
      </c>
      <c r="G29">
        <v>380000</v>
      </c>
      <c r="H29">
        <v>1</v>
      </c>
    </row>
    <row r="30" spans="1:8" x14ac:dyDescent="0.25">
      <c r="A30" s="125" t="s">
        <v>150</v>
      </c>
      <c r="B30" t="s">
        <v>115</v>
      </c>
      <c r="C30" t="s">
        <v>148</v>
      </c>
      <c r="D30" t="s">
        <v>252</v>
      </c>
      <c r="E30">
        <v>-65635.5</v>
      </c>
      <c r="F30" t="s">
        <v>27</v>
      </c>
      <c r="G30">
        <v>-380000</v>
      </c>
      <c r="H30">
        <v>0.69089999999999996</v>
      </c>
    </row>
    <row r="31" spans="1:8" x14ac:dyDescent="0.25">
      <c r="A31" s="125" t="s">
        <v>150</v>
      </c>
      <c r="B31" t="s">
        <v>115</v>
      </c>
      <c r="C31" t="s">
        <v>148</v>
      </c>
      <c r="D31" t="s">
        <v>252</v>
      </c>
      <c r="E31">
        <v>95000</v>
      </c>
      <c r="F31" t="s">
        <v>27</v>
      </c>
      <c r="G31">
        <v>380000</v>
      </c>
      <c r="H31">
        <v>1</v>
      </c>
    </row>
    <row r="32" spans="1:8" x14ac:dyDescent="0.25">
      <c r="A32" s="125" t="s">
        <v>150</v>
      </c>
      <c r="B32" t="s">
        <v>115</v>
      </c>
      <c r="C32" t="s">
        <v>256</v>
      </c>
      <c r="D32" t="s">
        <v>252</v>
      </c>
      <c r="E32">
        <v>0</v>
      </c>
      <c r="F32" t="s">
        <v>27</v>
      </c>
      <c r="G32">
        <v>380000</v>
      </c>
      <c r="H32">
        <v>0.27269999999999994</v>
      </c>
    </row>
    <row r="33" spans="1:8" x14ac:dyDescent="0.25">
      <c r="A33" s="125" t="s">
        <v>150</v>
      </c>
      <c r="B33" t="s">
        <v>115</v>
      </c>
      <c r="C33" t="s">
        <v>148</v>
      </c>
      <c r="D33" t="s">
        <v>253</v>
      </c>
      <c r="E33">
        <v>-65635.5</v>
      </c>
      <c r="F33" t="s">
        <v>27</v>
      </c>
      <c r="G33">
        <v>-380000</v>
      </c>
      <c r="H33">
        <v>0.69089999999999996</v>
      </c>
    </row>
    <row r="34" spans="1:8" x14ac:dyDescent="0.25">
      <c r="A34" s="125" t="s">
        <v>150</v>
      </c>
      <c r="B34" t="s">
        <v>115</v>
      </c>
      <c r="C34" t="s">
        <v>148</v>
      </c>
      <c r="D34" t="s">
        <v>253</v>
      </c>
      <c r="E34">
        <v>25906.499999999993</v>
      </c>
      <c r="F34" t="s">
        <v>27</v>
      </c>
      <c r="G34">
        <v>380000</v>
      </c>
      <c r="H34">
        <v>0.27269999999999994</v>
      </c>
    </row>
    <row r="35" spans="1:8" x14ac:dyDescent="0.25">
      <c r="A35" s="125" t="s">
        <v>150</v>
      </c>
      <c r="B35" t="s">
        <v>115</v>
      </c>
      <c r="C35" t="s">
        <v>256</v>
      </c>
      <c r="D35" t="s">
        <v>253</v>
      </c>
      <c r="E35">
        <v>0</v>
      </c>
      <c r="F35" t="s">
        <v>27</v>
      </c>
      <c r="G35">
        <v>380000</v>
      </c>
      <c r="H35">
        <v>0.2727</v>
      </c>
    </row>
    <row r="36" spans="1:8" x14ac:dyDescent="0.25">
      <c r="A36" s="125" t="s">
        <v>150</v>
      </c>
      <c r="B36" t="s">
        <v>115</v>
      </c>
      <c r="C36" t="s">
        <v>148</v>
      </c>
      <c r="D36" t="s">
        <v>254</v>
      </c>
      <c r="E36">
        <v>-65635.5</v>
      </c>
      <c r="F36" t="s">
        <v>27</v>
      </c>
      <c r="G36">
        <v>-380000</v>
      </c>
      <c r="H36">
        <v>0.69089999999999996</v>
      </c>
    </row>
    <row r="37" spans="1:8" x14ac:dyDescent="0.25">
      <c r="A37" s="125" t="s">
        <v>150</v>
      </c>
      <c r="B37" t="s">
        <v>115</v>
      </c>
      <c r="C37" t="s">
        <v>148</v>
      </c>
      <c r="D37" t="s">
        <v>254</v>
      </c>
      <c r="E37">
        <v>25906.5</v>
      </c>
      <c r="F37" t="s">
        <v>27</v>
      </c>
      <c r="G37">
        <v>380000</v>
      </c>
      <c r="H37">
        <v>0.2727</v>
      </c>
    </row>
    <row r="38" spans="1:8" x14ac:dyDescent="0.25">
      <c r="A38" s="125" t="s">
        <v>150</v>
      </c>
      <c r="B38" t="s">
        <v>115</v>
      </c>
      <c r="C38" t="s">
        <v>149</v>
      </c>
      <c r="D38" t="s">
        <v>254</v>
      </c>
      <c r="E38">
        <v>-380000</v>
      </c>
      <c r="F38" t="s">
        <v>27</v>
      </c>
      <c r="G38">
        <v>0</v>
      </c>
      <c r="H38">
        <v>0.69089999999999996</v>
      </c>
    </row>
    <row r="39" spans="1:8" x14ac:dyDescent="0.25">
      <c r="A39" s="125" t="s">
        <v>150</v>
      </c>
      <c r="B39" t="s">
        <v>115</v>
      </c>
      <c r="C39" t="s">
        <v>149</v>
      </c>
      <c r="D39" t="s">
        <v>254</v>
      </c>
      <c r="E39">
        <v>380000</v>
      </c>
      <c r="F39" t="s">
        <v>27</v>
      </c>
      <c r="G39">
        <v>0</v>
      </c>
      <c r="H39">
        <v>0.2727</v>
      </c>
    </row>
    <row r="40" spans="1:8" ht="15" customHeight="1" x14ac:dyDescent="0.25"/>
    <row r="41" spans="1:8" ht="15" customHeight="1" x14ac:dyDescent="0.25"/>
    <row r="42" spans="1:8" x14ac:dyDescent="0.25">
      <c r="A42" t="s">
        <v>224</v>
      </c>
      <c r="B42" t="s">
        <v>255</v>
      </c>
      <c r="C42" t="s">
        <v>244</v>
      </c>
      <c r="D42" t="s">
        <v>245</v>
      </c>
      <c r="E42" t="s">
        <v>246</v>
      </c>
      <c r="F42" t="s">
        <v>247</v>
      </c>
      <c r="G42" t="s">
        <v>248</v>
      </c>
      <c r="H42" t="s">
        <v>249</v>
      </c>
    </row>
    <row r="43" spans="1:8" x14ac:dyDescent="0.25">
      <c r="A43" s="125" t="s">
        <v>152</v>
      </c>
      <c r="B43" t="s">
        <v>127</v>
      </c>
      <c r="C43" t="s">
        <v>147</v>
      </c>
      <c r="D43" t="s">
        <v>250</v>
      </c>
      <c r="E43">
        <v>-100000</v>
      </c>
      <c r="F43" t="s">
        <v>27</v>
      </c>
      <c r="G43">
        <v>100000</v>
      </c>
      <c r="H43">
        <v>0.09</v>
      </c>
    </row>
    <row r="44" spans="1:8" x14ac:dyDescent="0.25">
      <c r="A44" s="125" t="s">
        <v>152</v>
      </c>
      <c r="B44" t="s">
        <v>127</v>
      </c>
      <c r="C44" t="s">
        <v>148</v>
      </c>
      <c r="D44" t="s">
        <v>251</v>
      </c>
      <c r="E44">
        <v>2250</v>
      </c>
      <c r="F44" t="s">
        <v>27</v>
      </c>
      <c r="G44">
        <v>100000</v>
      </c>
      <c r="H44">
        <v>0.09</v>
      </c>
    </row>
    <row r="45" spans="1:8" x14ac:dyDescent="0.25">
      <c r="A45" s="125" t="s">
        <v>152</v>
      </c>
      <c r="B45" t="s">
        <v>127</v>
      </c>
      <c r="C45" t="s">
        <v>148</v>
      </c>
      <c r="D45" t="s">
        <v>252</v>
      </c>
      <c r="E45">
        <v>2250</v>
      </c>
      <c r="F45" t="s">
        <v>27</v>
      </c>
      <c r="G45">
        <v>100000</v>
      </c>
      <c r="H45">
        <v>0.09</v>
      </c>
    </row>
    <row r="46" spans="1:8" x14ac:dyDescent="0.25">
      <c r="A46" s="125" t="s">
        <v>152</v>
      </c>
      <c r="B46" t="s">
        <v>127</v>
      </c>
      <c r="C46" t="s">
        <v>148</v>
      </c>
      <c r="D46" t="s">
        <v>253</v>
      </c>
      <c r="E46">
        <v>2250</v>
      </c>
      <c r="F46" t="s">
        <v>27</v>
      </c>
      <c r="G46">
        <v>100000</v>
      </c>
      <c r="H46">
        <v>0.09</v>
      </c>
    </row>
    <row r="47" spans="1:8" x14ac:dyDescent="0.25">
      <c r="A47" s="125" t="s">
        <v>152</v>
      </c>
      <c r="B47" t="s">
        <v>127</v>
      </c>
      <c r="C47" t="s">
        <v>148</v>
      </c>
      <c r="D47" t="s">
        <v>254</v>
      </c>
      <c r="E47">
        <v>2250</v>
      </c>
      <c r="F47" t="s">
        <v>27</v>
      </c>
      <c r="G47">
        <v>100000</v>
      </c>
      <c r="H47">
        <v>0.09</v>
      </c>
    </row>
    <row r="48" spans="1:8" x14ac:dyDescent="0.25">
      <c r="A48" s="125" t="s">
        <v>152</v>
      </c>
      <c r="B48" t="s">
        <v>127</v>
      </c>
      <c r="C48" t="s">
        <v>149</v>
      </c>
      <c r="D48" t="s">
        <v>254</v>
      </c>
      <c r="E48">
        <v>100000</v>
      </c>
      <c r="F48" t="s">
        <v>27</v>
      </c>
      <c r="G48">
        <v>0</v>
      </c>
      <c r="H48">
        <v>0.09</v>
      </c>
    </row>
    <row r="49" spans="1:8" x14ac:dyDescent="0.25">
      <c r="A49" s="125" t="s">
        <v>152</v>
      </c>
      <c r="B49" t="s">
        <v>129</v>
      </c>
      <c r="C49" t="s">
        <v>147</v>
      </c>
      <c r="D49" t="s">
        <v>250</v>
      </c>
      <c r="E49">
        <v>380000</v>
      </c>
      <c r="F49" t="s">
        <v>27</v>
      </c>
      <c r="G49">
        <v>-380000</v>
      </c>
      <c r="H49">
        <v>0.69089999999999996</v>
      </c>
    </row>
    <row r="50" spans="1:8" x14ac:dyDescent="0.25">
      <c r="A50" s="125" t="s">
        <v>152</v>
      </c>
      <c r="B50" t="s">
        <v>129</v>
      </c>
      <c r="C50" t="s">
        <v>147</v>
      </c>
      <c r="D50" t="s">
        <v>250</v>
      </c>
      <c r="E50">
        <v>-380000</v>
      </c>
      <c r="F50" t="s">
        <v>27</v>
      </c>
      <c r="G50">
        <v>380000</v>
      </c>
      <c r="H50">
        <v>1</v>
      </c>
    </row>
    <row r="51" spans="1:8" x14ac:dyDescent="0.25">
      <c r="A51" s="125" t="s">
        <v>152</v>
      </c>
      <c r="B51" t="s">
        <v>129</v>
      </c>
      <c r="C51" t="s">
        <v>256</v>
      </c>
      <c r="D51" t="s">
        <v>250</v>
      </c>
      <c r="E51">
        <v>0</v>
      </c>
      <c r="F51" t="s">
        <v>27</v>
      </c>
      <c r="G51">
        <v>380000</v>
      </c>
      <c r="H51">
        <v>1</v>
      </c>
    </row>
    <row r="52" spans="1:8" x14ac:dyDescent="0.25">
      <c r="A52" s="125" t="s">
        <v>152</v>
      </c>
      <c r="B52" t="s">
        <v>129</v>
      </c>
      <c r="C52" t="s">
        <v>148</v>
      </c>
      <c r="D52" t="s">
        <v>251</v>
      </c>
      <c r="E52">
        <v>-65635.5</v>
      </c>
      <c r="F52" t="s">
        <v>27</v>
      </c>
      <c r="G52">
        <v>-380000</v>
      </c>
      <c r="H52">
        <v>0.69089999999999996</v>
      </c>
    </row>
    <row r="53" spans="1:8" x14ac:dyDescent="0.25">
      <c r="A53" s="125" t="s">
        <v>152</v>
      </c>
      <c r="B53" t="s">
        <v>129</v>
      </c>
      <c r="C53" t="s">
        <v>148</v>
      </c>
      <c r="D53" t="s">
        <v>251</v>
      </c>
      <c r="E53">
        <v>95000</v>
      </c>
      <c r="F53" t="s">
        <v>27</v>
      </c>
      <c r="G53">
        <v>380000</v>
      </c>
      <c r="H53">
        <v>1</v>
      </c>
    </row>
    <row r="54" spans="1:8" x14ac:dyDescent="0.25">
      <c r="A54" s="125" t="s">
        <v>152</v>
      </c>
      <c r="B54" t="s">
        <v>129</v>
      </c>
      <c r="C54" t="s">
        <v>256</v>
      </c>
      <c r="D54" t="s">
        <v>251</v>
      </c>
      <c r="E54">
        <v>0</v>
      </c>
      <c r="F54" t="s">
        <v>27</v>
      </c>
      <c r="G54">
        <v>380000</v>
      </c>
      <c r="H54">
        <v>1</v>
      </c>
    </row>
    <row r="55" spans="1:8" x14ac:dyDescent="0.25">
      <c r="A55" s="125" t="s">
        <v>152</v>
      </c>
      <c r="B55" t="s">
        <v>129</v>
      </c>
      <c r="C55" t="s">
        <v>148</v>
      </c>
      <c r="D55" t="s">
        <v>252</v>
      </c>
      <c r="E55">
        <v>-65635.5</v>
      </c>
      <c r="F55" t="s">
        <v>27</v>
      </c>
      <c r="G55">
        <v>-380000</v>
      </c>
      <c r="H55">
        <v>0.69089999999999996</v>
      </c>
    </row>
    <row r="56" spans="1:8" x14ac:dyDescent="0.25">
      <c r="A56" s="125" t="s">
        <v>152</v>
      </c>
      <c r="B56" t="s">
        <v>129</v>
      </c>
      <c r="C56" t="s">
        <v>148</v>
      </c>
      <c r="D56" t="s">
        <v>252</v>
      </c>
      <c r="E56">
        <v>95000</v>
      </c>
      <c r="F56" t="s">
        <v>27</v>
      </c>
      <c r="G56">
        <v>380000</v>
      </c>
      <c r="H56">
        <v>1</v>
      </c>
    </row>
    <row r="57" spans="1:8" x14ac:dyDescent="0.25">
      <c r="A57" s="125" t="s">
        <v>152</v>
      </c>
      <c r="B57" t="s">
        <v>129</v>
      </c>
      <c r="C57" t="s">
        <v>256</v>
      </c>
      <c r="D57" t="s">
        <v>252</v>
      </c>
      <c r="E57">
        <v>0</v>
      </c>
      <c r="F57" t="s">
        <v>27</v>
      </c>
      <c r="G57">
        <v>380000</v>
      </c>
      <c r="H57">
        <v>0.27269999999999994</v>
      </c>
    </row>
    <row r="58" spans="1:8" x14ac:dyDescent="0.25">
      <c r="A58" s="125" t="s">
        <v>152</v>
      </c>
      <c r="B58" t="s">
        <v>129</v>
      </c>
      <c r="C58" t="s">
        <v>148</v>
      </c>
      <c r="D58" t="s">
        <v>253</v>
      </c>
      <c r="E58">
        <v>-65635.5</v>
      </c>
      <c r="F58" t="s">
        <v>27</v>
      </c>
      <c r="G58">
        <v>-380000</v>
      </c>
      <c r="H58">
        <v>0.69089999999999996</v>
      </c>
    </row>
    <row r="59" spans="1:8" x14ac:dyDescent="0.25">
      <c r="A59" s="125" t="s">
        <v>152</v>
      </c>
      <c r="B59" t="s">
        <v>129</v>
      </c>
      <c r="C59" t="s">
        <v>148</v>
      </c>
      <c r="D59" t="s">
        <v>253</v>
      </c>
      <c r="E59">
        <v>25906.499999999993</v>
      </c>
      <c r="F59" t="s">
        <v>27</v>
      </c>
      <c r="G59">
        <v>380000</v>
      </c>
      <c r="H59">
        <v>0.27269999999999994</v>
      </c>
    </row>
    <row r="60" spans="1:8" x14ac:dyDescent="0.25">
      <c r="A60" s="125" t="s">
        <v>152</v>
      </c>
      <c r="B60" t="s">
        <v>129</v>
      </c>
      <c r="C60" t="s">
        <v>256</v>
      </c>
      <c r="D60" t="s">
        <v>253</v>
      </c>
      <c r="E60">
        <v>0</v>
      </c>
      <c r="F60" t="s">
        <v>27</v>
      </c>
      <c r="G60">
        <v>380000</v>
      </c>
      <c r="H60">
        <v>0.2727</v>
      </c>
    </row>
    <row r="61" spans="1:8" x14ac:dyDescent="0.25">
      <c r="A61" s="125" t="s">
        <v>152</v>
      </c>
      <c r="B61" t="s">
        <v>129</v>
      </c>
      <c r="C61" t="s">
        <v>148</v>
      </c>
      <c r="D61" t="s">
        <v>254</v>
      </c>
      <c r="E61">
        <v>-65635.5</v>
      </c>
      <c r="F61" t="s">
        <v>27</v>
      </c>
      <c r="G61">
        <v>-380000</v>
      </c>
      <c r="H61">
        <v>0.69089999999999996</v>
      </c>
    </row>
    <row r="62" spans="1:8" x14ac:dyDescent="0.25">
      <c r="A62" s="125" t="s">
        <v>152</v>
      </c>
      <c r="B62" t="s">
        <v>129</v>
      </c>
      <c r="C62" t="s">
        <v>148</v>
      </c>
      <c r="D62" t="s">
        <v>254</v>
      </c>
      <c r="E62">
        <v>25906.5</v>
      </c>
      <c r="F62" t="s">
        <v>27</v>
      </c>
      <c r="G62">
        <v>380000</v>
      </c>
      <c r="H62">
        <v>0.2727</v>
      </c>
    </row>
    <row r="63" spans="1:8" x14ac:dyDescent="0.25">
      <c r="A63" s="125" t="s">
        <v>152</v>
      </c>
      <c r="B63" t="s">
        <v>129</v>
      </c>
      <c r="C63" t="s">
        <v>149</v>
      </c>
      <c r="D63" t="s">
        <v>254</v>
      </c>
      <c r="E63">
        <v>-380000</v>
      </c>
      <c r="F63" t="s">
        <v>27</v>
      </c>
      <c r="G63">
        <v>0</v>
      </c>
      <c r="H63">
        <v>0.69089999999999996</v>
      </c>
    </row>
    <row r="64" spans="1:8" x14ac:dyDescent="0.25">
      <c r="A64" s="125" t="s">
        <v>152</v>
      </c>
      <c r="B64" t="s">
        <v>129</v>
      </c>
      <c r="C64" t="s">
        <v>149</v>
      </c>
      <c r="D64" t="s">
        <v>254</v>
      </c>
      <c r="E64">
        <v>380000</v>
      </c>
      <c r="F64" t="s">
        <v>27</v>
      </c>
      <c r="G64">
        <v>0</v>
      </c>
      <c r="H64">
        <v>0.2727</v>
      </c>
    </row>
    <row r="65" spans="1:8" x14ac:dyDescent="0.25">
      <c r="A65" s="125" t="s">
        <v>152</v>
      </c>
      <c r="B65" t="s">
        <v>134</v>
      </c>
      <c r="C65" t="s">
        <v>147</v>
      </c>
      <c r="D65" t="s">
        <v>250</v>
      </c>
      <c r="E65">
        <v>-550000</v>
      </c>
      <c r="F65" t="s">
        <v>27</v>
      </c>
      <c r="G65">
        <v>550000</v>
      </c>
      <c r="H65">
        <v>0.02</v>
      </c>
    </row>
    <row r="66" spans="1:8" x14ac:dyDescent="0.25">
      <c r="A66" s="125" t="s">
        <v>152</v>
      </c>
      <c r="B66" t="s">
        <v>134</v>
      </c>
      <c r="C66" t="s">
        <v>148</v>
      </c>
      <c r="D66" t="s">
        <v>251</v>
      </c>
      <c r="E66">
        <v>2750</v>
      </c>
      <c r="F66" t="s">
        <v>27</v>
      </c>
      <c r="G66">
        <v>550000</v>
      </c>
      <c r="H66">
        <v>0.02</v>
      </c>
    </row>
    <row r="67" spans="1:8" x14ac:dyDescent="0.25">
      <c r="A67" s="125" t="s">
        <v>152</v>
      </c>
      <c r="B67" t="s">
        <v>134</v>
      </c>
      <c r="C67" t="s">
        <v>148</v>
      </c>
      <c r="D67" t="s">
        <v>252</v>
      </c>
      <c r="E67">
        <v>2750</v>
      </c>
      <c r="F67" t="s">
        <v>27</v>
      </c>
      <c r="G67">
        <v>550000</v>
      </c>
      <c r="H67">
        <v>0.02</v>
      </c>
    </row>
    <row r="68" spans="1:8" x14ac:dyDescent="0.25">
      <c r="A68" s="125" t="s">
        <v>152</v>
      </c>
      <c r="B68" t="s">
        <v>134</v>
      </c>
      <c r="C68" t="s">
        <v>148</v>
      </c>
      <c r="D68" t="s">
        <v>253</v>
      </c>
      <c r="E68">
        <v>2750</v>
      </c>
      <c r="F68" t="s">
        <v>27</v>
      </c>
      <c r="G68">
        <v>550000</v>
      </c>
      <c r="H68">
        <v>0.02</v>
      </c>
    </row>
    <row r="69" spans="1:8" x14ac:dyDescent="0.25">
      <c r="A69" s="125" t="s">
        <v>152</v>
      </c>
      <c r="B69" t="s">
        <v>134</v>
      </c>
      <c r="C69" t="s">
        <v>148</v>
      </c>
      <c r="D69" t="s">
        <v>254</v>
      </c>
      <c r="E69">
        <v>2750</v>
      </c>
      <c r="F69" t="s">
        <v>27</v>
      </c>
      <c r="G69">
        <v>550000</v>
      </c>
      <c r="H69">
        <v>0.02</v>
      </c>
    </row>
    <row r="70" spans="1:8" x14ac:dyDescent="0.25">
      <c r="A70" s="125" t="s">
        <v>152</v>
      </c>
      <c r="B70" t="s">
        <v>134</v>
      </c>
      <c r="C70" t="s">
        <v>149</v>
      </c>
      <c r="D70" t="s">
        <v>254</v>
      </c>
      <c r="E70">
        <v>550000</v>
      </c>
      <c r="F70" t="s">
        <v>27</v>
      </c>
      <c r="G70">
        <v>0</v>
      </c>
      <c r="H70">
        <v>0.02</v>
      </c>
    </row>
  </sheetData>
  <mergeCells count="2">
    <mergeCell ref="A1:J1"/>
    <mergeCell ref="A3:J3"/>
  </mergeCells>
  <pageMargins left="0.75" right="0.75" top="1" bottom="1" header="0.511811023622047" footer="0.511811023622047"/>
  <pageSetup paperSize="9" orientation="portrait" horizontalDpi="300" verticalDpi="300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2A4A"/>
  </sheetPr>
  <dimension ref="A1:M54"/>
  <sheetViews>
    <sheetView showGridLines="0" zoomScale="115" zoomScaleNormal="115" workbookViewId="0">
      <pane ySplit="4" topLeftCell="A77" activePane="bottomLeft" state="frozen"/>
      <selection pane="bottomLeft" activeCell="N39" sqref="N39"/>
    </sheetView>
  </sheetViews>
  <sheetFormatPr defaultColWidth="8.7109375" defaultRowHeight="15" x14ac:dyDescent="0.25"/>
  <cols>
    <col min="1" max="1" width="22" customWidth="1"/>
    <col min="2" max="4" width="14" customWidth="1"/>
    <col min="5" max="5" width="16" customWidth="1"/>
    <col min="6" max="6" width="14" customWidth="1"/>
    <col min="7" max="7" width="38" customWidth="1"/>
    <col min="8" max="12" width="13" customWidth="1"/>
  </cols>
  <sheetData>
    <row r="1" spans="1:13" ht="19.5" customHeight="1" x14ac:dyDescent="0.25">
      <c r="A1" s="91" t="s">
        <v>153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13"/>
    </row>
    <row r="2" spans="1:13" ht="19.5" customHeight="1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13"/>
    </row>
    <row r="3" spans="1:13" ht="21.75" customHeight="1" x14ac:dyDescent="0.25">
      <c r="A3" s="89" t="s">
        <v>154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13"/>
    </row>
    <row r="4" spans="1:13" ht="3" customHeight="1" x14ac:dyDescent="0.25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3"/>
    </row>
    <row r="5" spans="1:13" ht="7.5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</row>
    <row r="6" spans="1:13" ht="4.5" customHeight="1" x14ac:dyDescent="0.25">
      <c r="A6" s="62"/>
      <c r="B6" s="62"/>
      <c r="C6" s="62"/>
      <c r="D6" s="62"/>
      <c r="E6" s="63"/>
      <c r="F6" s="63"/>
      <c r="G6" s="63"/>
      <c r="H6" s="63"/>
      <c r="I6" s="64"/>
      <c r="J6" s="64"/>
      <c r="K6" s="64"/>
      <c r="L6" s="64"/>
      <c r="M6" s="13"/>
    </row>
    <row r="7" spans="1:13" ht="18" customHeight="1" x14ac:dyDescent="0.25">
      <c r="A7" s="92" t="s">
        <v>155</v>
      </c>
      <c r="B7" s="92"/>
      <c r="C7" s="92"/>
      <c r="D7" s="92"/>
      <c r="E7" s="93" t="s">
        <v>156</v>
      </c>
      <c r="F7" s="93"/>
      <c r="G7" s="93"/>
      <c r="H7" s="93"/>
      <c r="I7" s="94" t="s">
        <v>157</v>
      </c>
      <c r="J7" s="94"/>
      <c r="K7" s="94"/>
      <c r="L7" s="94"/>
      <c r="M7" s="13"/>
    </row>
    <row r="8" spans="1:13" ht="25.5" customHeight="1" x14ac:dyDescent="0.25">
      <c r="A8" s="95" t="s">
        <v>158</v>
      </c>
      <c r="B8" s="95"/>
      <c r="C8" s="95"/>
      <c r="D8" s="95"/>
      <c r="E8" s="96" t="s">
        <v>159</v>
      </c>
      <c r="F8" s="96"/>
      <c r="G8" s="96"/>
      <c r="H8" s="96"/>
      <c r="I8" s="97" t="s">
        <v>160</v>
      </c>
      <c r="J8" s="97"/>
      <c r="K8" s="97"/>
      <c r="L8" s="97"/>
      <c r="M8" s="13"/>
    </row>
    <row r="9" spans="1:13" ht="30" customHeight="1" x14ac:dyDescent="0.25">
      <c r="A9" s="182">
        <f>B22</f>
        <v>9000</v>
      </c>
      <c r="B9" s="98"/>
      <c r="C9" s="98"/>
      <c r="D9" s="98"/>
      <c r="E9" s="183">
        <f>C22</f>
        <v>-11729.000000000007</v>
      </c>
      <c r="F9" s="99"/>
      <c r="G9" s="99"/>
      <c r="H9" s="99"/>
      <c r="I9" s="184">
        <f>D22</f>
        <v>-729.00000000000728</v>
      </c>
      <c r="J9" s="100"/>
      <c r="K9" s="100"/>
      <c r="L9" s="100"/>
      <c r="M9" s="13"/>
    </row>
    <row r="10" spans="1:13" ht="30" customHeight="1" x14ac:dyDescent="0.25">
      <c r="A10" s="98"/>
      <c r="B10" s="98"/>
      <c r="C10" s="98"/>
      <c r="D10" s="98"/>
      <c r="E10" s="99"/>
      <c r="F10" s="99"/>
      <c r="G10" s="99"/>
      <c r="H10" s="99"/>
      <c r="I10" s="100"/>
      <c r="J10" s="100"/>
      <c r="K10" s="100"/>
      <c r="L10" s="100"/>
      <c r="M10" s="13"/>
    </row>
    <row r="11" spans="1:13" ht="18" customHeight="1" x14ac:dyDescent="0.25">
      <c r="A11" s="101" t="s">
        <v>161</v>
      </c>
      <c r="B11" s="101"/>
      <c r="C11" s="101"/>
      <c r="D11" s="101"/>
      <c r="E11" s="102" t="s">
        <v>162</v>
      </c>
      <c r="F11" s="102"/>
      <c r="G11" s="102"/>
      <c r="H11" s="102"/>
      <c r="I11" s="103" t="s">
        <v>162</v>
      </c>
      <c r="J11" s="103"/>
      <c r="K11" s="103"/>
      <c r="L11" s="103"/>
      <c r="M11" s="13"/>
    </row>
    <row r="12" spans="1:13" ht="19.5" customHeight="1" x14ac:dyDescent="0.25">
      <c r="A12" s="104" t="s">
        <v>163</v>
      </c>
      <c r="B12" s="104"/>
      <c r="C12" s="104"/>
      <c r="D12" s="104"/>
      <c r="E12" s="105" t="s">
        <v>164</v>
      </c>
      <c r="F12" s="105"/>
      <c r="G12" s="105"/>
      <c r="H12" s="105"/>
      <c r="I12" s="106" t="s">
        <v>165</v>
      </c>
      <c r="J12" s="106"/>
      <c r="K12" s="106"/>
      <c r="L12" s="106"/>
      <c r="M12" s="13"/>
    </row>
    <row r="13" spans="1:13" ht="21.75" customHeight="1" x14ac:dyDescent="0.25">
      <c r="A13" s="65"/>
      <c r="B13" s="65"/>
      <c r="C13" s="65"/>
      <c r="D13" s="65"/>
      <c r="E13" s="107" t="s">
        <v>166</v>
      </c>
      <c r="F13" s="107"/>
      <c r="G13" s="107"/>
      <c r="H13" s="107"/>
      <c r="I13" s="66"/>
      <c r="J13" s="66"/>
      <c r="K13" s="66"/>
      <c r="L13" s="66"/>
      <c r="M13" s="13"/>
    </row>
    <row r="14" spans="1:13" ht="4.5" customHeight="1" x14ac:dyDescent="0.25">
      <c r="A14" s="65"/>
      <c r="B14" s="65"/>
      <c r="C14" s="65"/>
      <c r="D14" s="65"/>
      <c r="E14" s="67"/>
      <c r="F14" s="67"/>
      <c r="G14" s="67"/>
      <c r="H14" s="67"/>
      <c r="I14" s="66"/>
      <c r="J14" s="66"/>
      <c r="K14" s="66"/>
      <c r="L14" s="66"/>
      <c r="M14" s="13"/>
    </row>
    <row r="15" spans="1:13" ht="4.5" customHeight="1" x14ac:dyDescent="0.25">
      <c r="A15" s="65"/>
      <c r="B15" s="65"/>
      <c r="C15" s="65"/>
      <c r="D15" s="65"/>
      <c r="E15" s="67"/>
      <c r="F15" s="67"/>
      <c r="G15" s="67"/>
      <c r="H15" s="67"/>
      <c r="I15" s="66"/>
      <c r="J15" s="66"/>
      <c r="K15" s="66"/>
      <c r="L15" s="66"/>
      <c r="M15" s="13"/>
    </row>
    <row r="16" spans="1:13" ht="7.5" customHeight="1" x14ac:dyDescent="0.25">
      <c r="A16" s="65"/>
      <c r="B16" s="65"/>
      <c r="C16" s="65"/>
      <c r="D16" s="65"/>
      <c r="E16" s="67"/>
      <c r="F16" s="67"/>
      <c r="G16" s="67"/>
      <c r="H16" s="67"/>
      <c r="I16" s="66"/>
      <c r="J16" s="66"/>
      <c r="K16" s="66"/>
      <c r="L16" s="66"/>
      <c r="M16" s="13"/>
    </row>
    <row r="17" spans="1:13" ht="18" customHeight="1" x14ac:dyDescent="0.25">
      <c r="A17" s="10" t="s">
        <v>167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3"/>
    </row>
    <row r="18" spans="1:13" ht="15.75" customHeight="1" x14ac:dyDescent="0.25">
      <c r="A18" s="14" t="s">
        <v>168</v>
      </c>
      <c r="B18" s="14" t="s">
        <v>169</v>
      </c>
      <c r="C18" s="14" t="s">
        <v>170</v>
      </c>
      <c r="D18" s="14" t="s">
        <v>171</v>
      </c>
      <c r="E18" s="14" t="s">
        <v>172</v>
      </c>
      <c r="F18" s="14" t="s">
        <v>173</v>
      </c>
      <c r="G18" s="14" t="s">
        <v>174</v>
      </c>
      <c r="H18" s="13"/>
      <c r="I18" s="13"/>
      <c r="J18" s="13"/>
      <c r="K18" s="13"/>
      <c r="L18" s="13"/>
      <c r="M18" s="13"/>
    </row>
    <row r="19" spans="1:13" ht="19.5" customHeight="1" x14ac:dyDescent="0.25">
      <c r="A19" s="68" t="s">
        <v>175</v>
      </c>
      <c r="B19" s="185">
        <f>SUMIF(Carbon_A[EventType],"IP",Carbon_A[Payoff])</f>
        <v>9000</v>
      </c>
      <c r="C19" s="188">
        <f>SUMIFS(Carbon_B[Payoff],Carbon_B[ContractID],"carbonLOAN01-B",Carbon_B[EventType],"IP")</f>
        <v>9000</v>
      </c>
      <c r="D19" s="191">
        <f>SUMIFS(Carbon_C[Payoff],Carbon_C[ContractID],"carbonLOAN01-C",Carbon_C[EventType],"IP")</f>
        <v>9000</v>
      </c>
      <c r="E19" s="194">
        <f>B19-C19</f>
        <v>0</v>
      </c>
      <c r="F19" s="194">
        <f>B19-D19</f>
        <v>0</v>
      </c>
      <c r="G19" s="59" t="s">
        <v>176</v>
      </c>
      <c r="H19" s="13"/>
      <c r="I19" s="13"/>
      <c r="J19" s="13"/>
      <c r="K19" s="13"/>
      <c r="L19" s="13"/>
      <c r="M19" s="13"/>
    </row>
    <row r="20" spans="1:13" ht="19.5" customHeight="1" x14ac:dyDescent="0.25">
      <c r="A20" s="73" t="s">
        <v>177</v>
      </c>
      <c r="B20" s="186">
        <v>0</v>
      </c>
      <c r="C20" s="189">
        <f>SUMIFS(Carbon_B[Payoff],Carbon_B[ContractID],"carbonSWAP-B",Carbon_B[EventType],"IP")</f>
        <v>-20729.000000000007</v>
      </c>
      <c r="D20" s="192">
        <f>SUMIFS(Carbon_C[Payoff],Carbon_C[ContractID],"carbonSWAP-C",Carbon_C[EventType],"IP")</f>
        <v>-20729.000000000007</v>
      </c>
      <c r="E20" s="195">
        <f>B20-C20</f>
        <v>20729.000000000007</v>
      </c>
      <c r="F20" s="195">
        <f>B20-D20</f>
        <v>20729.000000000007</v>
      </c>
      <c r="G20" s="54" t="s">
        <v>179</v>
      </c>
      <c r="H20" s="13"/>
      <c r="I20" s="13"/>
      <c r="J20" s="13"/>
      <c r="K20" s="13"/>
      <c r="L20" s="13"/>
      <c r="M20" s="13"/>
    </row>
    <row r="21" spans="1:13" ht="19.5" customHeight="1" x14ac:dyDescent="0.25">
      <c r="A21" s="68" t="s">
        <v>180</v>
      </c>
      <c r="B21" s="185">
        <v>0</v>
      </c>
      <c r="C21" s="188">
        <v>0</v>
      </c>
      <c r="D21" s="191">
        <f>SUMIFS(Carbon_C[Payoff],Carbon_C[ContractID],"carbonINS_01-C",Carbon_C[EventType],"IP")</f>
        <v>11000</v>
      </c>
      <c r="E21" s="194">
        <f>B21-C21</f>
        <v>0</v>
      </c>
      <c r="F21" s="196">
        <f>B21-D21</f>
        <v>-11000</v>
      </c>
      <c r="G21" s="59" t="s">
        <v>181</v>
      </c>
      <c r="H21" s="13"/>
      <c r="I21" s="13"/>
      <c r="J21" s="13"/>
      <c r="K21" s="13"/>
      <c r="L21" s="13"/>
      <c r="M21" s="13"/>
    </row>
    <row r="22" spans="1:13" ht="19.5" customHeight="1" x14ac:dyDescent="0.25">
      <c r="A22" s="77" t="s">
        <v>151</v>
      </c>
      <c r="B22" s="187">
        <f>SUM(B19:B21)</f>
        <v>9000</v>
      </c>
      <c r="C22" s="190">
        <f>SUM(C19:C21)</f>
        <v>-11729.000000000007</v>
      </c>
      <c r="D22" s="193">
        <f>SUM(D19:D21)</f>
        <v>-729.00000000000728</v>
      </c>
      <c r="E22" s="195">
        <f>B22-C22</f>
        <v>20729.000000000007</v>
      </c>
      <c r="F22" s="195">
        <f>B22-D22</f>
        <v>9729.0000000000073</v>
      </c>
      <c r="G22" s="78" t="s">
        <v>183</v>
      </c>
      <c r="H22" s="13"/>
      <c r="I22" s="13"/>
      <c r="J22" s="13"/>
      <c r="K22" s="13"/>
      <c r="L22" s="13"/>
      <c r="M22" s="13"/>
    </row>
    <row r="23" spans="1:13" ht="19.5" customHeight="1" x14ac:dyDescent="0.25">
      <c r="A23" s="68" t="s">
        <v>184</v>
      </c>
      <c r="B23" s="69" t="s">
        <v>185</v>
      </c>
      <c r="C23" s="70" t="s">
        <v>186</v>
      </c>
      <c r="D23" s="71" t="s">
        <v>186</v>
      </c>
      <c r="E23" s="72" t="s">
        <v>187</v>
      </c>
      <c r="F23" s="72" t="s">
        <v>187</v>
      </c>
      <c r="G23" s="59" t="s">
        <v>188</v>
      </c>
      <c r="H23" s="13"/>
      <c r="I23" s="13"/>
      <c r="J23" s="13"/>
      <c r="K23" s="13"/>
      <c r="L23" s="13"/>
      <c r="M23" s="13"/>
    </row>
    <row r="24" spans="1:13" ht="19.5" customHeight="1" x14ac:dyDescent="0.25">
      <c r="A24" s="73" t="s">
        <v>189</v>
      </c>
      <c r="B24" s="74" t="s">
        <v>190</v>
      </c>
      <c r="C24" s="75" t="s">
        <v>190</v>
      </c>
      <c r="D24" s="76" t="s">
        <v>191</v>
      </c>
      <c r="E24" s="79" t="s">
        <v>118</v>
      </c>
      <c r="F24" s="79" t="s">
        <v>192</v>
      </c>
      <c r="G24" s="54" t="s">
        <v>193</v>
      </c>
      <c r="H24" s="13"/>
      <c r="I24" s="13"/>
      <c r="J24" s="13"/>
      <c r="K24" s="13"/>
      <c r="L24" s="13"/>
      <c r="M24" s="13"/>
    </row>
    <row r="25" spans="1:13" ht="19.5" customHeight="1" x14ac:dyDescent="0.25">
      <c r="A25" s="68" t="s">
        <v>194</v>
      </c>
      <c r="B25" s="69" t="s">
        <v>195</v>
      </c>
      <c r="C25" s="70" t="s">
        <v>196</v>
      </c>
      <c r="D25" s="71" t="s">
        <v>196</v>
      </c>
      <c r="E25" s="72" t="s">
        <v>197</v>
      </c>
      <c r="F25" s="72" t="s">
        <v>197</v>
      </c>
      <c r="G25" s="59" t="s">
        <v>198</v>
      </c>
      <c r="H25" s="13"/>
      <c r="I25" s="13"/>
      <c r="J25" s="13"/>
      <c r="K25" s="13"/>
      <c r="L25" s="13"/>
      <c r="M25" s="13"/>
    </row>
    <row r="26" spans="1:13" ht="1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7.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19.5" customHeight="1" x14ac:dyDescent="0.25">
      <c r="A28" s="108" t="s">
        <v>199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3"/>
    </row>
    <row r="29" spans="1:13" ht="19.5" customHeight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3"/>
    </row>
    <row r="30" spans="1:13" ht="19.5" customHeight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3"/>
    </row>
    <row r="31" spans="1:13" ht="19.5" customHeight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3"/>
    </row>
    <row r="32" spans="1:13" ht="19.5" customHeight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3"/>
    </row>
    <row r="33" spans="1:13" ht="7.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</row>
    <row r="34" spans="1:13" ht="18" customHeight="1" x14ac:dyDescent="0.25">
      <c r="A34" s="10" t="s">
        <v>200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3"/>
    </row>
    <row r="35" spans="1:13" ht="15.75" customHeight="1" x14ac:dyDescent="0.25">
      <c r="A35" s="14" t="s">
        <v>61</v>
      </c>
      <c r="B35" s="14" t="s">
        <v>62</v>
      </c>
      <c r="C35" s="14" t="s">
        <v>201</v>
      </c>
      <c r="D35" s="14" t="s">
        <v>202</v>
      </c>
      <c r="E35" s="14" t="s">
        <v>65</v>
      </c>
      <c r="F35" s="14" t="s">
        <v>66</v>
      </c>
      <c r="G35" s="14" t="s">
        <v>145</v>
      </c>
      <c r="H35" s="13"/>
      <c r="I35" s="13"/>
      <c r="J35" s="13"/>
      <c r="K35" s="13"/>
      <c r="L35" s="13"/>
      <c r="M35" s="13"/>
    </row>
    <row r="36" spans="1:13" ht="18.75" customHeight="1" x14ac:dyDescent="0.25">
      <c r="A36" s="29" t="s">
        <v>68</v>
      </c>
      <c r="B36" s="29" t="s">
        <v>69</v>
      </c>
      <c r="C36" s="80" t="s">
        <v>203</v>
      </c>
      <c r="D36" s="29">
        <v>1</v>
      </c>
      <c r="E36" s="81" t="s">
        <v>204</v>
      </c>
      <c r="F36" s="82" t="s">
        <v>205</v>
      </c>
      <c r="G36" s="34" t="s">
        <v>206</v>
      </c>
      <c r="H36" s="13"/>
      <c r="I36" s="13"/>
      <c r="J36" s="13"/>
      <c r="K36" s="13"/>
      <c r="L36" s="13"/>
      <c r="M36" s="13"/>
    </row>
    <row r="37" spans="1:13" ht="18.75" customHeight="1" x14ac:dyDescent="0.25">
      <c r="A37" s="35" t="s">
        <v>71</v>
      </c>
      <c r="B37" s="35" t="s">
        <v>72</v>
      </c>
      <c r="C37" s="83" t="s">
        <v>203</v>
      </c>
      <c r="D37" s="35">
        <v>1</v>
      </c>
      <c r="E37" s="84" t="s">
        <v>204</v>
      </c>
      <c r="F37" s="85" t="s">
        <v>205</v>
      </c>
      <c r="G37" s="40" t="s">
        <v>207</v>
      </c>
      <c r="H37" s="13"/>
      <c r="I37" s="13"/>
      <c r="J37" s="13"/>
      <c r="K37" s="13"/>
      <c r="L37" s="13"/>
      <c r="M37" s="13"/>
    </row>
    <row r="38" spans="1:13" ht="18.75" customHeight="1" x14ac:dyDescent="0.25">
      <c r="A38" s="41" t="s">
        <v>74</v>
      </c>
      <c r="B38" s="41" t="s">
        <v>75</v>
      </c>
      <c r="C38" s="86" t="s">
        <v>208</v>
      </c>
      <c r="D38" s="41">
        <v>0.66669999999999996</v>
      </c>
      <c r="E38" s="87" t="s">
        <v>209</v>
      </c>
      <c r="F38" s="87" t="s">
        <v>210</v>
      </c>
      <c r="G38" s="46" t="s">
        <v>211</v>
      </c>
      <c r="H38" s="13"/>
      <c r="I38" s="13"/>
      <c r="J38" s="13"/>
      <c r="K38" s="13"/>
      <c r="L38" s="13"/>
      <c r="M38" s="13"/>
    </row>
    <row r="39" spans="1:13" ht="18.75" customHeight="1" x14ac:dyDescent="0.25">
      <c r="A39" s="41" t="s">
        <v>77</v>
      </c>
      <c r="B39" s="41" t="s">
        <v>78</v>
      </c>
      <c r="C39" s="86" t="s">
        <v>208</v>
      </c>
      <c r="D39" s="41">
        <v>0.66669999999999996</v>
      </c>
      <c r="E39" s="87" t="s">
        <v>209</v>
      </c>
      <c r="F39" s="87" t="s">
        <v>210</v>
      </c>
      <c r="G39" s="46" t="s">
        <v>212</v>
      </c>
      <c r="H39" s="13"/>
      <c r="I39" s="13"/>
      <c r="J39" s="13"/>
      <c r="K39" s="13"/>
      <c r="L39" s="13"/>
      <c r="M39" s="13"/>
    </row>
    <row r="40" spans="1:13" ht="18.75" customHeight="1" x14ac:dyDescent="0.25">
      <c r="A40" s="35" t="s">
        <v>79</v>
      </c>
      <c r="B40" s="35" t="s">
        <v>80</v>
      </c>
      <c r="C40" s="83" t="s">
        <v>213</v>
      </c>
      <c r="D40" s="35">
        <v>0.83330000000000004</v>
      </c>
      <c r="E40" s="84" t="s">
        <v>214</v>
      </c>
      <c r="F40" s="85" t="s">
        <v>215</v>
      </c>
      <c r="G40" s="40" t="s">
        <v>216</v>
      </c>
      <c r="H40" s="13"/>
      <c r="I40" s="13"/>
      <c r="J40" s="13"/>
      <c r="K40" s="13"/>
      <c r="L40" s="13"/>
      <c r="M40" s="13"/>
    </row>
    <row r="41" spans="1:13" ht="15" customHeight="1" x14ac:dyDescent="0.25">
      <c r="A41" s="117" t="s">
        <v>243</v>
      </c>
      <c r="B41" s="118"/>
      <c r="C41" s="118"/>
      <c r="D41" s="118"/>
      <c r="E41" s="118"/>
      <c r="F41" s="118"/>
      <c r="G41" s="118"/>
      <c r="H41" s="116"/>
      <c r="I41" s="118"/>
      <c r="J41" s="118"/>
      <c r="K41" s="118"/>
      <c r="L41" s="119"/>
      <c r="M41" s="13"/>
    </row>
    <row r="42" spans="1:13" ht="15" customHeight="1" x14ac:dyDescent="0.25">
      <c r="A42" s="110" t="s">
        <v>235</v>
      </c>
      <c r="B42" s="110"/>
      <c r="C42" s="110"/>
      <c r="D42" s="120"/>
      <c r="E42" s="111" t="s">
        <v>236</v>
      </c>
      <c r="F42" s="111"/>
      <c r="G42" s="111"/>
      <c r="H42" s="122"/>
      <c r="I42" s="112" t="s">
        <v>237</v>
      </c>
      <c r="J42" s="112"/>
      <c r="K42" s="112"/>
      <c r="L42" s="112"/>
      <c r="M42" s="13"/>
    </row>
    <row r="43" spans="1:13" ht="15" customHeight="1" x14ac:dyDescent="0.35">
      <c r="A43" s="113" t="s">
        <v>178</v>
      </c>
      <c r="B43" s="113"/>
      <c r="C43" s="113"/>
      <c r="D43" s="121"/>
      <c r="E43" s="114" t="s">
        <v>182</v>
      </c>
      <c r="F43" s="114"/>
      <c r="G43" s="114"/>
      <c r="H43" s="123"/>
      <c r="I43" s="115" t="s">
        <v>238</v>
      </c>
      <c r="J43" s="115"/>
      <c r="K43" s="115"/>
      <c r="L43" s="115"/>
      <c r="M43" s="13"/>
    </row>
    <row r="44" spans="1:13" ht="1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</row>
    <row r="45" spans="1:13" ht="15" customHeight="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</row>
    <row r="46" spans="1:13" ht="15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</row>
    <row r="47" spans="1:13" ht="15" customHeight="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</row>
    <row r="48" spans="1:13" ht="15" customHeight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</row>
    <row r="49" spans="1:13" ht="15" customHeight="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</row>
    <row r="50" spans="1:13" ht="15" customHeight="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 ht="15" customHeight="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</row>
    <row r="52" spans="1:13" ht="15" customHeight="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</row>
    <row r="53" spans="1:13" ht="15" customHeight="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</row>
    <row r="54" spans="1:13" ht="15" customHeigh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</row>
  </sheetData>
  <mergeCells count="29">
    <mergeCell ref="A43:D43"/>
    <mergeCell ref="E43:H43"/>
    <mergeCell ref="I43:L43"/>
    <mergeCell ref="A41:L41"/>
    <mergeCell ref="E13:H13"/>
    <mergeCell ref="A17:L17"/>
    <mergeCell ref="A28:L32"/>
    <mergeCell ref="A34:L34"/>
    <mergeCell ref="A42:D42"/>
    <mergeCell ref="E42:H42"/>
    <mergeCell ref="I42:L42"/>
    <mergeCell ref="A11:D11"/>
    <mergeCell ref="E11:H11"/>
    <mergeCell ref="I11:L11"/>
    <mergeCell ref="A12:D12"/>
    <mergeCell ref="E12:H12"/>
    <mergeCell ref="I12:L12"/>
    <mergeCell ref="A8:D8"/>
    <mergeCell ref="E8:H8"/>
    <mergeCell ref="I8:L8"/>
    <mergeCell ref="A9:D10"/>
    <mergeCell ref="E9:H10"/>
    <mergeCell ref="I9:L10"/>
    <mergeCell ref="A1:L2"/>
    <mergeCell ref="A3:L3"/>
    <mergeCell ref="A4:L4"/>
    <mergeCell ref="A7:D7"/>
    <mergeCell ref="E7:H7"/>
    <mergeCell ref="I7:L7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6C48-E49B-4764-BDFC-B67243F9901A}">
  <sheetPr codeName="Sheet5"/>
  <dimension ref="A1:J27"/>
  <sheetViews>
    <sheetView workbookViewId="0"/>
  </sheetViews>
  <sheetFormatPr defaultRowHeight="15" x14ac:dyDescent="0.25"/>
  <sheetData>
    <row r="1" spans="1:10" x14ac:dyDescent="0.25">
      <c r="A1" t="s">
        <v>217</v>
      </c>
      <c r="B1" t="s">
        <v>30</v>
      </c>
      <c r="C1" t="s">
        <v>218</v>
      </c>
      <c r="D1" t="s">
        <v>219</v>
      </c>
      <c r="E1" t="s">
        <v>220</v>
      </c>
      <c r="G1" t="s">
        <v>217</v>
      </c>
      <c r="H1" t="s">
        <v>218</v>
      </c>
      <c r="I1" t="s">
        <v>239</v>
      </c>
      <c r="J1" t="s">
        <v>240</v>
      </c>
    </row>
    <row r="2" spans="1:10" x14ac:dyDescent="0.25">
      <c r="A2" t="s">
        <v>68</v>
      </c>
      <c r="B2" s="109">
        <v>46023</v>
      </c>
      <c r="C2">
        <v>42</v>
      </c>
      <c r="D2">
        <v>38</v>
      </c>
      <c r="E2">
        <v>28</v>
      </c>
      <c r="G2" t="s">
        <v>68</v>
      </c>
      <c r="H2">
        <v>42</v>
      </c>
      <c r="I2">
        <v>38</v>
      </c>
      <c r="J2">
        <v>28</v>
      </c>
    </row>
    <row r="3" spans="1:10" x14ac:dyDescent="0.25">
      <c r="A3" t="s">
        <v>71</v>
      </c>
      <c r="B3" s="109">
        <v>46113</v>
      </c>
      <c r="C3">
        <v>42</v>
      </c>
      <c r="D3">
        <v>38</v>
      </c>
      <c r="E3">
        <v>28</v>
      </c>
      <c r="G3" t="s">
        <v>71</v>
      </c>
      <c r="H3">
        <v>42</v>
      </c>
      <c r="I3">
        <v>38</v>
      </c>
      <c r="J3">
        <v>28</v>
      </c>
    </row>
    <row r="4" spans="1:10" x14ac:dyDescent="0.25">
      <c r="A4" t="s">
        <v>74</v>
      </c>
      <c r="B4" s="109">
        <v>46204</v>
      </c>
      <c r="C4">
        <v>28</v>
      </c>
      <c r="D4">
        <v>38</v>
      </c>
      <c r="E4">
        <v>28</v>
      </c>
      <c r="G4" t="s">
        <v>241</v>
      </c>
      <c r="H4">
        <v>28</v>
      </c>
      <c r="I4">
        <v>38</v>
      </c>
      <c r="J4">
        <v>28</v>
      </c>
    </row>
    <row r="5" spans="1:10" x14ac:dyDescent="0.25">
      <c r="A5" t="s">
        <v>77</v>
      </c>
      <c r="B5" s="109">
        <v>46296</v>
      </c>
      <c r="C5">
        <v>28</v>
      </c>
      <c r="D5">
        <v>38</v>
      </c>
      <c r="E5">
        <v>28</v>
      </c>
      <c r="G5" t="s">
        <v>242</v>
      </c>
      <c r="H5">
        <v>28</v>
      </c>
      <c r="I5">
        <v>38</v>
      </c>
      <c r="J5">
        <v>28</v>
      </c>
    </row>
    <row r="6" spans="1:10" x14ac:dyDescent="0.25">
      <c r="A6" t="s">
        <v>79</v>
      </c>
      <c r="B6" s="109">
        <v>46388</v>
      </c>
      <c r="C6">
        <v>35</v>
      </c>
      <c r="D6">
        <v>38</v>
      </c>
      <c r="E6">
        <v>28</v>
      </c>
      <c r="G6" t="s">
        <v>79</v>
      </c>
      <c r="H6">
        <v>35</v>
      </c>
      <c r="I6">
        <v>38</v>
      </c>
      <c r="J6">
        <v>28</v>
      </c>
    </row>
    <row r="10" spans="1:10" x14ac:dyDescent="0.25">
      <c r="A10" t="s">
        <v>217</v>
      </c>
      <c r="B10" t="s">
        <v>221</v>
      </c>
      <c r="C10" t="s">
        <v>222</v>
      </c>
      <c r="D10" t="s">
        <v>223</v>
      </c>
    </row>
    <row r="11" spans="1:10" x14ac:dyDescent="0.25">
      <c r="A11" t="s">
        <v>71</v>
      </c>
      <c r="B11">
        <v>4900</v>
      </c>
      <c r="C11">
        <v>4900</v>
      </c>
      <c r="D11">
        <v>7000</v>
      </c>
    </row>
    <row r="12" spans="1:10" x14ac:dyDescent="0.25">
      <c r="A12" t="s">
        <v>74</v>
      </c>
      <c r="B12">
        <v>4900</v>
      </c>
      <c r="C12">
        <v>-20100</v>
      </c>
      <c r="D12">
        <v>-18000</v>
      </c>
    </row>
    <row r="13" spans="1:10" x14ac:dyDescent="0.25">
      <c r="A13" t="s">
        <v>77</v>
      </c>
      <c r="B13">
        <v>4900</v>
      </c>
      <c r="C13">
        <v>-20100</v>
      </c>
      <c r="D13">
        <v>-18000</v>
      </c>
    </row>
    <row r="14" spans="1:10" x14ac:dyDescent="0.25">
      <c r="A14" t="s">
        <v>79</v>
      </c>
      <c r="B14">
        <v>4900</v>
      </c>
      <c r="C14">
        <v>-2600</v>
      </c>
      <c r="D14">
        <v>-600</v>
      </c>
    </row>
    <row r="18" spans="1:9" x14ac:dyDescent="0.25">
      <c r="A18" t="s">
        <v>224</v>
      </c>
      <c r="B18" t="s">
        <v>225</v>
      </c>
      <c r="C18" t="s">
        <v>226</v>
      </c>
    </row>
    <row r="19" spans="1:9" x14ac:dyDescent="0.25">
      <c r="A19" t="s">
        <v>227</v>
      </c>
      <c r="B19">
        <v>19600</v>
      </c>
      <c r="C19">
        <v>19600</v>
      </c>
    </row>
    <row r="20" spans="1:9" x14ac:dyDescent="0.25">
      <c r="A20" t="s">
        <v>228</v>
      </c>
      <c r="B20">
        <v>19600</v>
      </c>
      <c r="C20">
        <v>-37900</v>
      </c>
    </row>
    <row r="21" spans="1:9" x14ac:dyDescent="0.25">
      <c r="A21" t="s">
        <v>229</v>
      </c>
      <c r="B21">
        <v>28000</v>
      </c>
      <c r="C21">
        <v>-49100</v>
      </c>
    </row>
    <row r="24" spans="1:9" x14ac:dyDescent="0.25">
      <c r="A24" t="s">
        <v>230</v>
      </c>
      <c r="B24" t="s">
        <v>231</v>
      </c>
      <c r="C24" t="s">
        <v>232</v>
      </c>
      <c r="G24" t="s">
        <v>230</v>
      </c>
      <c r="H24" t="s">
        <v>270</v>
      </c>
      <c r="I24" t="s">
        <v>271</v>
      </c>
    </row>
    <row r="25" spans="1:9" x14ac:dyDescent="0.25">
      <c r="A25" t="s">
        <v>233</v>
      </c>
      <c r="B25">
        <v>100</v>
      </c>
      <c r="C25">
        <v>0</v>
      </c>
      <c r="G25" t="s">
        <v>233</v>
      </c>
      <c r="H25">
        <v>100</v>
      </c>
      <c r="I25">
        <v>0</v>
      </c>
    </row>
    <row r="26" spans="1:9" x14ac:dyDescent="0.25">
      <c r="A26" t="s">
        <v>184</v>
      </c>
      <c r="B26">
        <v>100</v>
      </c>
      <c r="C26">
        <v>0</v>
      </c>
      <c r="G26" t="s">
        <v>184</v>
      </c>
      <c r="H26">
        <v>100</v>
      </c>
      <c r="I26">
        <v>0</v>
      </c>
    </row>
    <row r="27" spans="1:9" x14ac:dyDescent="0.25">
      <c r="A27" t="s">
        <v>234</v>
      </c>
      <c r="B27">
        <v>100</v>
      </c>
      <c r="C27">
        <v>0</v>
      </c>
      <c r="G27" t="s">
        <v>234</v>
      </c>
      <c r="H27">
        <v>100</v>
      </c>
      <c r="I2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3AAC8-D35B-41FD-B7D4-207AF43B2C31}">
  <sheetPr codeName="Sheet7"/>
  <dimension ref="A1"/>
  <sheetViews>
    <sheetView workbookViewId="0">
      <selection activeCell="A6" sqref="A6:G12"/>
    </sheetView>
  </sheetViews>
  <sheetFormatPr defaultRowHeight="15" x14ac:dyDescent="0.25"/>
  <cols>
    <col min="1" max="1" width="12.42578125" bestFit="1" customWidth="1"/>
    <col min="2" max="2" width="12.5703125" bestFit="1" customWidth="1"/>
    <col min="3" max="3" width="16.140625" bestFit="1" customWidth="1"/>
    <col min="4" max="4" width="9" bestFit="1" customWidth="1"/>
    <col min="5" max="5" width="11.140625" bestFit="1" customWidth="1"/>
    <col min="6" max="6" width="16.140625" bestFit="1" customWidth="1"/>
    <col min="7" max="7" width="14.855468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6F67-F2C0-4BD6-BD24-A247D541CB18}">
  <sheetPr codeName="Sheet8"/>
  <dimension ref="A1"/>
  <sheetViews>
    <sheetView workbookViewId="0">
      <selection activeCell="A15" sqref="A15:H37"/>
    </sheetView>
  </sheetViews>
  <sheetFormatPr defaultRowHeight="15" x14ac:dyDescent="0.25"/>
  <cols>
    <col min="1" max="1" width="13.5703125" bestFit="1" customWidth="1"/>
    <col min="2" max="2" width="16" bestFit="1" customWidth="1"/>
    <col min="3" max="3" width="12.5703125" bestFit="1" customWidth="1"/>
    <col min="4" max="4" width="16.140625" bestFit="1" customWidth="1"/>
    <col min="5" max="5" width="9" bestFit="1" customWidth="1"/>
    <col min="6" max="6" width="11.140625" bestFit="1" customWidth="1"/>
    <col min="7" max="7" width="16.140625" bestFit="1" customWidth="1"/>
    <col min="8" max="8" width="14.8554687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56ED-85C0-4906-AB5A-6BE66FC86519}">
  <sheetPr codeName="Sheet9"/>
  <dimension ref="A1"/>
  <sheetViews>
    <sheetView topLeftCell="A30" workbookViewId="0">
      <selection activeCell="A42" sqref="A42:H70"/>
    </sheetView>
  </sheetViews>
  <sheetFormatPr defaultRowHeight="15" x14ac:dyDescent="0.25"/>
  <cols>
    <col min="1" max="1" width="16.7109375" bestFit="1" customWidth="1"/>
    <col min="2" max="2" width="16" bestFit="1" customWidth="1"/>
    <col min="3" max="3" width="12.5703125" bestFit="1" customWidth="1"/>
    <col min="4" max="4" width="16.140625" bestFit="1" customWidth="1"/>
    <col min="5" max="5" width="9" bestFit="1" customWidth="1"/>
    <col min="6" max="6" width="11.140625" bestFit="1" customWidth="1"/>
    <col min="7" max="7" width="16.140625" bestFit="1" customWidth="1"/>
    <col min="8" max="8" width="14.85546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1987CA-20E1-4B21-A29F-47256FB389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⚡ Inputs</vt:lpstr>
      <vt:lpstr>⚙ Contracts</vt:lpstr>
      <vt:lpstr>📡 Response</vt:lpstr>
      <vt:lpstr>📊 Insights</vt:lpstr>
      <vt:lpstr>_ChartData</vt:lpstr>
      <vt:lpstr>Carbon_A</vt:lpstr>
      <vt:lpstr>Carbon_B</vt:lpstr>
      <vt:lpstr>Carbon_C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Kaarunyan Chandrasekaran</cp:lastModifiedBy>
  <cp:revision>0</cp:revision>
  <dcterms:created xsi:type="dcterms:W3CDTF">2026-03-15T12:19:55Z</dcterms:created>
  <dcterms:modified xsi:type="dcterms:W3CDTF">2026-03-15T20:10:59Z</dcterms:modified>
  <dc:language>en-US</dc:language>
</cp:coreProperties>
</file>